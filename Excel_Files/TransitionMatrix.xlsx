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1328" documentId="8_{7A274306-C97C-6F42-8097-DBF8B4993424}" xr6:coauthVersionLast="47" xr6:coauthVersionMax="47" xr10:uidLastSave="{6823BD6C-DC93-0749-8F5E-140F80FD3A50}"/>
  <bookViews>
    <workbookView xWindow="2200" yWindow="1060" windowWidth="28040" windowHeight="17180" activeTab="7" xr2:uid="{D572464F-AAEA-0240-BBB3-3937FC5855A1}"/>
  </bookViews>
  <sheets>
    <sheet name="J_3_6" sheetId="2" r:id="rId1"/>
    <sheet name="J_2_5" sheetId="1" r:id="rId2"/>
    <sheet name="J_2_5_Bolt" sheetId="4" r:id="rId3"/>
    <sheet name="calc_check" sheetId="3" r:id="rId4"/>
    <sheet name="J25_new" sheetId="5" r:id="rId5"/>
    <sheet name="J(2,3)_add_drop" sheetId="8" r:id="rId6"/>
    <sheet name="J23_AD_Multi" sheetId="9" r:id="rId7"/>
    <sheet name="JM23_Rstr" sheetId="10" r:id="rId8"/>
    <sheet name="Sheet1" sheetId="12" r:id="rId9"/>
    <sheet name="JM33_Res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0" l="1"/>
  <c r="C15" i="11"/>
  <c r="D15" i="11"/>
  <c r="C16" i="11"/>
  <c r="D16" i="11"/>
  <c r="F17" i="11"/>
  <c r="G17" i="11"/>
  <c r="C18" i="11"/>
  <c r="F14" i="11"/>
  <c r="G14" i="11"/>
  <c r="A15" i="11"/>
  <c r="A16" i="11" s="1"/>
  <c r="A17" i="11" s="1"/>
  <c r="A18" i="11" s="1"/>
  <c r="H4" i="11"/>
  <c r="H5" i="11"/>
  <c r="G16" i="11" s="1"/>
  <c r="H6" i="11"/>
  <c r="H7" i="11"/>
  <c r="F18" i="11" s="1"/>
  <c r="H3" i="11"/>
  <c r="A4" i="11"/>
  <c r="A5" i="11" s="1"/>
  <c r="A6" i="11" s="1"/>
  <c r="A7" i="11" s="1"/>
  <c r="E12" i="10"/>
  <c r="E13" i="10"/>
  <c r="F13" i="10"/>
  <c r="G13" i="10"/>
  <c r="H13" i="10"/>
  <c r="F14" i="10"/>
  <c r="H14" i="10"/>
  <c r="D15" i="10"/>
  <c r="E15" i="10"/>
  <c r="F15" i="10"/>
  <c r="H15" i="10"/>
  <c r="F11" i="10"/>
  <c r="H11" i="10"/>
  <c r="I3" i="10"/>
  <c r="H12" i="10" s="1"/>
  <c r="I4" i="10"/>
  <c r="D13" i="10" s="1"/>
  <c r="I5" i="10"/>
  <c r="I6" i="10"/>
  <c r="G15" i="10" s="1"/>
  <c r="I2" i="10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C27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" i="9"/>
  <c r="A35" i="9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29" i="9"/>
  <c r="A30" i="9" s="1"/>
  <c r="A31" i="9" s="1"/>
  <c r="A32" i="9" s="1"/>
  <c r="A33" i="9" s="1"/>
  <c r="A10" i="9"/>
  <c r="A4" i="9"/>
  <c r="A5" i="9" s="1"/>
  <c r="A6" i="9" s="1"/>
  <c r="A7" i="9" s="1"/>
  <c r="A8" i="9" s="1"/>
  <c r="C53" i="3"/>
  <c r="D53" i="3"/>
  <c r="D54" i="3" s="1"/>
  <c r="C55" i="3" s="1"/>
  <c r="C56" i="3" s="1"/>
  <c r="E53" i="3"/>
  <c r="F53" i="3"/>
  <c r="G53" i="3"/>
  <c r="H53" i="3"/>
  <c r="I53" i="3"/>
  <c r="J53" i="3"/>
  <c r="K53" i="3"/>
  <c r="L53" i="3"/>
  <c r="C54" i="3"/>
  <c r="E54" i="3"/>
  <c r="F54" i="3"/>
  <c r="G54" i="3"/>
  <c r="H54" i="3"/>
  <c r="I54" i="3"/>
  <c r="J54" i="3"/>
  <c r="K54" i="3"/>
  <c r="L54" i="3"/>
  <c r="E60" i="3"/>
  <c r="E61" i="3" s="1"/>
  <c r="F60" i="3"/>
  <c r="G60" i="3"/>
  <c r="H60" i="3"/>
  <c r="J60" i="3"/>
  <c r="H64" i="3"/>
  <c r="C37" i="3"/>
  <c r="D37" i="3"/>
  <c r="E37" i="3"/>
  <c r="F37" i="3"/>
  <c r="G37" i="3"/>
  <c r="H37" i="3"/>
  <c r="I37" i="3"/>
  <c r="J37" i="3"/>
  <c r="K37" i="3"/>
  <c r="B37" i="3"/>
  <c r="C33" i="3"/>
  <c r="D33" i="3"/>
  <c r="E33" i="3"/>
  <c r="F33" i="3"/>
  <c r="G33" i="3"/>
  <c r="H33" i="3"/>
  <c r="I33" i="3"/>
  <c r="J33" i="3"/>
  <c r="K33" i="3"/>
  <c r="B33" i="3"/>
  <c r="B28" i="4"/>
  <c r="C28" i="4"/>
  <c r="D28" i="4"/>
  <c r="E28" i="4"/>
  <c r="F28" i="4"/>
  <c r="G28" i="4"/>
  <c r="H28" i="4"/>
  <c r="I28" i="4"/>
  <c r="J28" i="4"/>
  <c r="K28" i="4"/>
  <c r="B29" i="4"/>
  <c r="C29" i="4"/>
  <c r="D29" i="4"/>
  <c r="E29" i="4"/>
  <c r="F29" i="4"/>
  <c r="G29" i="4"/>
  <c r="H29" i="4"/>
  <c r="I29" i="4"/>
  <c r="J29" i="4"/>
  <c r="K29" i="4"/>
  <c r="B30" i="4"/>
  <c r="C30" i="4"/>
  <c r="D30" i="4"/>
  <c r="E30" i="4"/>
  <c r="F30" i="4"/>
  <c r="G30" i="4"/>
  <c r="H30" i="4"/>
  <c r="I30" i="4"/>
  <c r="J30" i="4"/>
  <c r="K30" i="4"/>
  <c r="B31" i="4"/>
  <c r="C31" i="4"/>
  <c r="D31" i="4"/>
  <c r="E31" i="4"/>
  <c r="F31" i="4"/>
  <c r="G31" i="4"/>
  <c r="H31" i="4"/>
  <c r="I31" i="4"/>
  <c r="J31" i="4"/>
  <c r="K31" i="4"/>
  <c r="B32" i="4"/>
  <c r="C32" i="4"/>
  <c r="D32" i="4"/>
  <c r="E32" i="4"/>
  <c r="F32" i="4"/>
  <c r="G32" i="4"/>
  <c r="H32" i="4"/>
  <c r="I32" i="4"/>
  <c r="J32" i="4"/>
  <c r="K32" i="4"/>
  <c r="B33" i="4"/>
  <c r="C33" i="4"/>
  <c r="D33" i="4"/>
  <c r="E33" i="4"/>
  <c r="F33" i="4"/>
  <c r="G33" i="4"/>
  <c r="H33" i="4"/>
  <c r="I33" i="4"/>
  <c r="J33" i="4"/>
  <c r="K33" i="4"/>
  <c r="B34" i="4"/>
  <c r="C34" i="4"/>
  <c r="D34" i="4"/>
  <c r="E34" i="4"/>
  <c r="F34" i="4"/>
  <c r="G34" i="4"/>
  <c r="H34" i="4"/>
  <c r="I34" i="4"/>
  <c r="J34" i="4"/>
  <c r="K34" i="4"/>
  <c r="B35" i="4"/>
  <c r="C35" i="4"/>
  <c r="D35" i="4"/>
  <c r="E35" i="4"/>
  <c r="F35" i="4"/>
  <c r="G35" i="4"/>
  <c r="H35" i="4"/>
  <c r="I35" i="4"/>
  <c r="J35" i="4"/>
  <c r="K35" i="4"/>
  <c r="B36" i="4"/>
  <c r="C36" i="4"/>
  <c r="D36" i="4"/>
  <c r="E36" i="4"/>
  <c r="F36" i="4"/>
  <c r="G36" i="4"/>
  <c r="H36" i="4"/>
  <c r="I36" i="4"/>
  <c r="J36" i="4"/>
  <c r="K36" i="4"/>
  <c r="C27" i="4"/>
  <c r="D27" i="4"/>
  <c r="E27" i="4"/>
  <c r="F27" i="4"/>
  <c r="G27" i="4"/>
  <c r="H27" i="4"/>
  <c r="I27" i="4"/>
  <c r="J27" i="4"/>
  <c r="K27" i="4"/>
  <c r="B27" i="4"/>
  <c r="M30" i="4"/>
  <c r="M28" i="4"/>
  <c r="M15" i="4"/>
  <c r="M31" i="4"/>
  <c r="M16" i="4"/>
  <c r="M17" i="4"/>
  <c r="M18" i="4"/>
  <c r="M19" i="4"/>
  <c r="M20" i="4"/>
  <c r="M21" i="4"/>
  <c r="M22" i="4"/>
  <c r="M23" i="4"/>
  <c r="M24" i="4"/>
  <c r="M3" i="4"/>
  <c r="M4" i="4"/>
  <c r="M5" i="4"/>
  <c r="M6" i="4"/>
  <c r="M7" i="4"/>
  <c r="M8" i="4"/>
  <c r="M9" i="4"/>
  <c r="M10" i="4"/>
  <c r="M11" i="4"/>
  <c r="M2" i="4"/>
  <c r="B14" i="3"/>
  <c r="B11" i="3"/>
  <c r="B4" i="3"/>
  <c r="B2" i="3"/>
  <c r="D11" i="10" l="1"/>
  <c r="G11" i="10"/>
  <c r="E11" i="10"/>
  <c r="F12" i="10"/>
  <c r="D12" i="10"/>
  <c r="D14" i="10"/>
  <c r="E14" i="10"/>
  <c r="G14" i="10"/>
  <c r="F15" i="11"/>
  <c r="E15" i="11"/>
  <c r="G15" i="11"/>
  <c r="E16" i="11"/>
  <c r="F16" i="11"/>
  <c r="C17" i="11"/>
  <c r="E17" i="11"/>
  <c r="D17" i="11"/>
  <c r="D14" i="11"/>
  <c r="E14" i="11"/>
  <c r="C14" i="11"/>
  <c r="H14" i="11" s="1"/>
  <c r="G18" i="11"/>
  <c r="E18" i="11"/>
  <c r="D18" i="11"/>
  <c r="XFD10" i="9"/>
  <c r="A11" i="9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F61" i="3"/>
  <c r="G61" i="3"/>
  <c r="H61" i="3"/>
  <c r="D15" i="3"/>
  <c r="C15" i="3"/>
  <c r="H15" i="3"/>
  <c r="I15" i="3"/>
  <c r="J15" i="3"/>
  <c r="K15" i="3"/>
  <c r="B15" i="3"/>
  <c r="F15" i="3"/>
  <c r="G15" i="3"/>
  <c r="E15" i="3"/>
  <c r="M29" i="4"/>
  <c r="M33" i="4"/>
  <c r="M32" i="4"/>
  <c r="M34" i="4"/>
  <c r="M35" i="4"/>
  <c r="J48" i="4" s="1"/>
  <c r="M36" i="4"/>
  <c r="K48" i="4"/>
  <c r="I48" i="4"/>
  <c r="M27" i="4"/>
  <c r="B41" i="4"/>
  <c r="K41" i="4"/>
  <c r="J41" i="4"/>
  <c r="H41" i="4"/>
  <c r="E41" i="4"/>
  <c r="C41" i="4"/>
  <c r="I41" i="4"/>
  <c r="G41" i="4"/>
  <c r="F41" i="4"/>
  <c r="D41" i="4"/>
  <c r="B43" i="4"/>
  <c r="K43" i="4"/>
  <c r="J43" i="4"/>
  <c r="H43" i="4"/>
  <c r="F43" i="4"/>
  <c r="D43" i="4"/>
  <c r="C43" i="4"/>
  <c r="E43" i="4"/>
  <c r="G43" i="4"/>
  <c r="I43" i="4"/>
  <c r="B44" i="4"/>
  <c r="J44" i="4"/>
  <c r="I44" i="4"/>
  <c r="C44" i="4"/>
  <c r="G44" i="4"/>
  <c r="E44" i="4"/>
  <c r="D44" i="4"/>
  <c r="F44" i="4"/>
  <c r="H44" i="4"/>
  <c r="K44" i="4"/>
  <c r="D5" i="3"/>
  <c r="E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B5" i="3"/>
  <c r="F5" i="3"/>
  <c r="C5" i="3"/>
  <c r="H15" i="11" l="1"/>
  <c r="H16" i="11"/>
  <c r="H17" i="11"/>
  <c r="H18" i="11"/>
  <c r="J61" i="3"/>
  <c r="B47" i="4"/>
  <c r="M47" i="4" s="1"/>
  <c r="D47" i="4"/>
  <c r="E47" i="4"/>
  <c r="F47" i="4"/>
  <c r="G47" i="4"/>
  <c r="H47" i="4"/>
  <c r="I47" i="4"/>
  <c r="J47" i="4"/>
  <c r="K47" i="4"/>
  <c r="C47" i="4"/>
  <c r="H48" i="4"/>
  <c r="G48" i="4"/>
  <c r="F48" i="4"/>
  <c r="E48" i="4"/>
  <c r="D48" i="4"/>
  <c r="J42" i="4"/>
  <c r="H42" i="4"/>
  <c r="E42" i="4"/>
  <c r="C42" i="4"/>
  <c r="K42" i="4"/>
  <c r="I42" i="4"/>
  <c r="G42" i="4"/>
  <c r="F42" i="4"/>
  <c r="D42" i="4"/>
  <c r="B42" i="4"/>
  <c r="B46" i="4"/>
  <c r="C46" i="4"/>
  <c r="E46" i="4"/>
  <c r="F46" i="4"/>
  <c r="G46" i="4"/>
  <c r="H46" i="4"/>
  <c r="I46" i="4"/>
  <c r="J46" i="4"/>
  <c r="K46" i="4"/>
  <c r="D46" i="4"/>
  <c r="C45" i="4"/>
  <c r="B45" i="4"/>
  <c r="D45" i="4"/>
  <c r="K45" i="4"/>
  <c r="J45" i="4"/>
  <c r="H45" i="4"/>
  <c r="G45" i="4"/>
  <c r="F45" i="4"/>
  <c r="E45" i="4"/>
  <c r="I45" i="4"/>
  <c r="G49" i="4"/>
  <c r="F49" i="4"/>
  <c r="E49" i="4"/>
  <c r="D49" i="4"/>
  <c r="C49" i="4"/>
  <c r="B49" i="4"/>
  <c r="H49" i="4"/>
  <c r="I49" i="4"/>
  <c r="J49" i="4"/>
  <c r="K49" i="4"/>
  <c r="M49" i="4"/>
  <c r="C48" i="4"/>
  <c r="B48" i="4"/>
  <c r="M48" i="4" s="1"/>
  <c r="B40" i="4"/>
  <c r="C40" i="4"/>
  <c r="D40" i="4"/>
  <c r="E40" i="4"/>
  <c r="H40" i="4"/>
  <c r="F40" i="4"/>
  <c r="I40" i="4"/>
  <c r="J40" i="4"/>
  <c r="G40" i="4"/>
  <c r="K40" i="4"/>
  <c r="M41" i="4"/>
  <c r="M43" i="4"/>
  <c r="M44" i="4"/>
  <c r="B6" i="3"/>
  <c r="M45" i="4" l="1"/>
  <c r="M46" i="4"/>
  <c r="M40" i="4"/>
  <c r="M42" i="4"/>
</calcChain>
</file>

<file path=xl/sharedStrings.xml><?xml version="1.0" encoding="utf-8"?>
<sst xmlns="http://schemas.openxmlformats.org/spreadsheetml/2006/main" count="1082" uniqueCount="115">
  <si>
    <t>00101</t>
  </si>
  <si>
    <t>10010</t>
  </si>
  <si>
    <t>01100</t>
  </si>
  <si>
    <t>01001</t>
  </si>
  <si>
    <t>01010</t>
  </si>
  <si>
    <t>00110</t>
  </si>
  <si>
    <t>00011</t>
  </si>
  <si>
    <t>10001</t>
  </si>
  <si>
    <t>0.25</t>
  </si>
  <si>
    <t>0</t>
  </si>
  <si>
    <t>State/State</t>
  </si>
  <si>
    <t>1</t>
  </si>
  <si>
    <t>111000</t>
  </si>
  <si>
    <t>110100</t>
  </si>
  <si>
    <t>110010</t>
  </si>
  <si>
    <t>110001</t>
  </si>
  <si>
    <t>101001</t>
  </si>
  <si>
    <t>101010</t>
  </si>
  <si>
    <t>101100</t>
  </si>
  <si>
    <t>100110</t>
  </si>
  <si>
    <t>100101</t>
  </si>
  <si>
    <t>100011</t>
  </si>
  <si>
    <t>010011</t>
  </si>
  <si>
    <t>010110</t>
  </si>
  <si>
    <t>011010</t>
  </si>
  <si>
    <t>011100</t>
  </si>
  <si>
    <t>010101</t>
  </si>
  <si>
    <t>011001</t>
  </si>
  <si>
    <t>001110</t>
  </si>
  <si>
    <t>001101</t>
  </si>
  <si>
    <t>001011</t>
  </si>
  <si>
    <t>000111</t>
  </si>
  <si>
    <t>Calculation from multiplying repeatedly</t>
  </si>
  <si>
    <t>Calculation from eigen values</t>
  </si>
  <si>
    <t>Calculation from eigen values after normalization</t>
  </si>
  <si>
    <t>sum total</t>
  </si>
  <si>
    <t xml:space="preserve">sum total </t>
  </si>
  <si>
    <t>2</t>
  </si>
  <si>
    <t>3</t>
  </si>
  <si>
    <t>4</t>
  </si>
  <si>
    <t>5</t>
  </si>
  <si>
    <t>T</t>
  </si>
  <si>
    <t>k</t>
  </si>
  <si>
    <t>Sum</t>
  </si>
  <si>
    <t>probabilities after applying boltzmann weights</t>
  </si>
  <si>
    <t>11000</t>
  </si>
  <si>
    <t>10100</t>
  </si>
  <si>
    <t>10</t>
  </si>
  <si>
    <t>7</t>
  </si>
  <si>
    <t>8</t>
  </si>
  <si>
    <t>9</t>
  </si>
  <si>
    <t>-1</t>
  </si>
  <si>
    <t>States</t>
  </si>
  <si>
    <t>State</t>
  </si>
  <si>
    <t>000</t>
  </si>
  <si>
    <t>100</t>
  </si>
  <si>
    <t>110</t>
  </si>
  <si>
    <t>101</t>
  </si>
  <si>
    <t>011</t>
  </si>
  <si>
    <t>010</t>
  </si>
  <si>
    <t>001</t>
  </si>
  <si>
    <t>111</t>
  </si>
  <si>
    <t>[11]00</t>
  </si>
  <si>
    <t>00[11]</t>
  </si>
  <si>
    <t>0[11]0</t>
  </si>
  <si>
    <t>1[11]0</t>
  </si>
  <si>
    <t>[11]10</t>
  </si>
  <si>
    <t>10[11]</t>
  </si>
  <si>
    <t>[11]01</t>
  </si>
  <si>
    <t>0[11]1</t>
  </si>
  <si>
    <t>0[111]0</t>
  </si>
  <si>
    <t>01[11]</t>
  </si>
  <si>
    <t>00[111]</t>
  </si>
  <si>
    <t>[111]00</t>
  </si>
  <si>
    <t>State No</t>
  </si>
  <si>
    <t>[00]</t>
  </si>
  <si>
    <t>[01]</t>
  </si>
  <si>
    <t>[11]</t>
  </si>
  <si>
    <t>[22]</t>
  </si>
  <si>
    <t>[33]</t>
  </si>
  <si>
    <t>[02]</t>
  </si>
  <si>
    <t>[03]</t>
  </si>
  <si>
    <t>[12]</t>
  </si>
  <si>
    <t>[13]</t>
  </si>
  <si>
    <t>[23]</t>
  </si>
  <si>
    <t>[000]</t>
  </si>
  <si>
    <t>[001]</t>
  </si>
  <si>
    <t>[011]</t>
  </si>
  <si>
    <t>[111]</t>
  </si>
  <si>
    <t>[002]</t>
  </si>
  <si>
    <t>[003]</t>
  </si>
  <si>
    <t>[012]</t>
  </si>
  <si>
    <t>[013]</t>
  </si>
  <si>
    <t>[122]</t>
  </si>
  <si>
    <t>[123]</t>
  </si>
  <si>
    <t>[023]</t>
  </si>
  <si>
    <t>[033]</t>
  </si>
  <si>
    <t>[022]</t>
  </si>
  <si>
    <t>[222]</t>
  </si>
  <si>
    <t>[333]</t>
  </si>
  <si>
    <t>[113]</t>
  </si>
  <si>
    <t>[133]</t>
  </si>
  <si>
    <t>[233]</t>
  </si>
  <si>
    <t>[223]</t>
  </si>
  <si>
    <t>[112]</t>
  </si>
  <si>
    <t>-</t>
  </si>
  <si>
    <t>{12}</t>
  </si>
  <si>
    <t>{13}</t>
  </si>
  <si>
    <t>{11}</t>
  </si>
  <si>
    <t>State Number</t>
  </si>
  <si>
    <t>State number</t>
  </si>
  <si>
    <t>{111}</t>
  </si>
  <si>
    <t>{112}</t>
  </si>
  <si>
    <t>{113}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</si>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</sst>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4"/>
      <color rgb="FF000000"/>
      <name val="-webkit-standard"/>
    </font>
    <font>
      <sz val="13"/>
      <color theme="1"/>
      <name val="Menlo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0" fontId="3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1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37" fontId="0" fillId="0" borderId="0" xfId="0" applyNumberFormat="1"/>
    <xf numFmtId="12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5AC8-4B10-A640-ABAD-19EB3B92D836}">
  <dimension ref="A1:U21"/>
  <sheetViews>
    <sheetView zoomScale="125" workbookViewId="0">
      <selection activeCell="B1" sqref="B1:U1"/>
    </sheetView>
  </sheetViews>
  <sheetFormatPr baseColWidth="10" defaultRowHeight="16"/>
  <cols>
    <col min="1" max="21" width="7.1640625" style="3" bestFit="1" customWidth="1"/>
    <col min="22" max="16384" width="10.83203125" style="3"/>
  </cols>
  <sheetData>
    <row r="1" spans="1:21">
      <c r="A1" s="4">
        <v>0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</row>
    <row r="2" spans="1:21">
      <c r="A2" s="5" t="s">
        <v>12</v>
      </c>
      <c r="B2" s="4">
        <v>0.25</v>
      </c>
      <c r="C2" s="4">
        <v>0.25</v>
      </c>
      <c r="D2" s="4">
        <v>0.25</v>
      </c>
      <c r="E2" s="4">
        <v>0.25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  <c r="M2" s="4" t="s">
        <v>9</v>
      </c>
      <c r="N2" s="4" t="s">
        <v>9</v>
      </c>
      <c r="O2" s="4" t="s">
        <v>9</v>
      </c>
      <c r="P2" s="4" t="s">
        <v>9</v>
      </c>
      <c r="Q2" s="4" t="s">
        <v>9</v>
      </c>
      <c r="R2" s="4" t="s">
        <v>9</v>
      </c>
      <c r="S2" s="4" t="s">
        <v>9</v>
      </c>
      <c r="T2" s="4" t="s">
        <v>9</v>
      </c>
      <c r="U2" s="4" t="s">
        <v>9</v>
      </c>
    </row>
    <row r="3" spans="1:21">
      <c r="A3" s="5" t="s">
        <v>13</v>
      </c>
      <c r="B3" s="4">
        <v>0.25</v>
      </c>
      <c r="C3" s="4">
        <v>0</v>
      </c>
      <c r="D3" s="4">
        <v>0</v>
      </c>
      <c r="E3" s="4">
        <v>0</v>
      </c>
      <c r="F3" s="4">
        <v>0.25</v>
      </c>
      <c r="G3" s="4">
        <v>0.25</v>
      </c>
      <c r="H3" s="4">
        <v>0.25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5" t="s">
        <v>14</v>
      </c>
      <c r="B4" s="4">
        <v>0</v>
      </c>
      <c r="C4" s="4">
        <v>0.25</v>
      </c>
      <c r="D4" s="4">
        <v>0</v>
      </c>
      <c r="E4" s="4">
        <v>0</v>
      </c>
      <c r="F4" s="4">
        <v>0</v>
      </c>
      <c r="G4" s="4">
        <v>0</v>
      </c>
      <c r="H4" s="4">
        <v>0.25</v>
      </c>
      <c r="I4" s="4">
        <v>0.25</v>
      </c>
      <c r="J4" s="4">
        <v>0.25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5" t="s">
        <v>15</v>
      </c>
      <c r="B5" s="4">
        <v>0</v>
      </c>
      <c r="C5" s="4">
        <v>0</v>
      </c>
      <c r="D5" s="4">
        <v>0.25</v>
      </c>
      <c r="E5" s="4">
        <v>0</v>
      </c>
      <c r="F5" s="4">
        <v>0</v>
      </c>
      <c r="G5" s="4">
        <v>0.25</v>
      </c>
      <c r="H5" s="4">
        <v>0</v>
      </c>
      <c r="I5" s="4">
        <v>0.25</v>
      </c>
      <c r="J5" s="4">
        <v>0</v>
      </c>
      <c r="K5" s="4">
        <v>0.25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>
      <c r="A6" s="5" t="s">
        <v>16</v>
      </c>
      <c r="B6" s="4">
        <v>0</v>
      </c>
      <c r="C6" s="4">
        <v>0</v>
      </c>
      <c r="D6" s="4">
        <v>0.25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0.25</v>
      </c>
      <c r="M6" s="4">
        <v>0.25</v>
      </c>
      <c r="N6" s="4">
        <v>0.25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>
      <c r="A7" s="5" t="s">
        <v>17</v>
      </c>
      <c r="B7" s="4">
        <v>0</v>
      </c>
      <c r="C7" s="4">
        <v>0.25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0.25</v>
      </c>
      <c r="N7" s="4">
        <v>0</v>
      </c>
      <c r="O7" s="4">
        <v>0.25</v>
      </c>
      <c r="P7" s="4">
        <v>0.25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>
      <c r="A8" s="5" t="s">
        <v>18</v>
      </c>
      <c r="B8" s="4">
        <v>0.25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0.25</v>
      </c>
      <c r="O8" s="4">
        <v>0.25</v>
      </c>
      <c r="P8" s="4">
        <v>0</v>
      </c>
      <c r="Q8" s="4">
        <v>0.25</v>
      </c>
      <c r="R8" s="4">
        <v>0</v>
      </c>
      <c r="S8" s="4">
        <v>0</v>
      </c>
      <c r="T8" s="4">
        <v>0</v>
      </c>
      <c r="U8" s="4">
        <v>0</v>
      </c>
    </row>
    <row r="9" spans="1:21">
      <c r="A9" s="5" t="s">
        <v>19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0.25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0.25</v>
      </c>
      <c r="P9" s="4">
        <v>0</v>
      </c>
      <c r="Q9" s="4">
        <v>0</v>
      </c>
      <c r="R9" s="4">
        <v>0.25</v>
      </c>
      <c r="S9" s="4">
        <v>0.25</v>
      </c>
      <c r="T9" s="4">
        <v>0</v>
      </c>
      <c r="U9" s="4">
        <v>0</v>
      </c>
    </row>
    <row r="10" spans="1:21">
      <c r="A10" s="5" t="s">
        <v>20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0.25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0.25</v>
      </c>
      <c r="P10" s="4">
        <v>0</v>
      </c>
      <c r="Q10" s="4">
        <v>0</v>
      </c>
      <c r="R10" s="4">
        <v>0.25</v>
      </c>
      <c r="S10" s="4">
        <v>0</v>
      </c>
      <c r="T10" s="4">
        <v>0.25</v>
      </c>
      <c r="U10" s="4">
        <v>0</v>
      </c>
    </row>
    <row r="11" spans="1:21">
      <c r="A11" s="5" t="s">
        <v>21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0.25</v>
      </c>
      <c r="J11" s="4">
        <v>0</v>
      </c>
      <c r="K11" s="4">
        <v>0</v>
      </c>
      <c r="L11" s="4">
        <v>0</v>
      </c>
      <c r="M11" s="4">
        <v>0.25</v>
      </c>
      <c r="N11" s="4">
        <v>0</v>
      </c>
      <c r="O11" s="4">
        <v>0</v>
      </c>
      <c r="P11" s="4">
        <v>0</v>
      </c>
      <c r="Q11" s="4">
        <v>0</v>
      </c>
      <c r="R11" s="4">
        <v>0.25</v>
      </c>
      <c r="S11" s="4">
        <v>0</v>
      </c>
      <c r="T11" s="4">
        <v>0</v>
      </c>
      <c r="U11" s="4">
        <v>0.25</v>
      </c>
    </row>
    <row r="12" spans="1:21">
      <c r="A12" s="5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 t="s">
        <v>11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5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 t="s">
        <v>11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5" t="s">
        <v>24</v>
      </c>
      <c r="B14" s="4">
        <v>0</v>
      </c>
      <c r="C14" s="4" t="s">
        <v>11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5" t="s">
        <v>25</v>
      </c>
      <c r="B15" s="4" t="s">
        <v>11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>
      <c r="A16" s="5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 t="s">
        <v>11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>
      <c r="A17" s="5" t="s">
        <v>27</v>
      </c>
      <c r="B17" s="4">
        <v>0</v>
      </c>
      <c r="C17" s="4">
        <v>0</v>
      </c>
      <c r="D17" s="4" t="s">
        <v>11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5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 t="s">
        <v>11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5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 t="s">
        <v>11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>
      <c r="A20" s="5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11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1">
      <c r="A21" s="5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11</v>
      </c>
      <c r="S21" s="4">
        <v>0</v>
      </c>
      <c r="T21" s="4">
        <v>0</v>
      </c>
      <c r="U21" s="4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A2 B1:XFD1 A22:XFD1048576 A3 V3:XFD3 A4 V4:XFD4 A5 V5:XFD5 A6 V6:XFD6 A7 V7:XFD7 A8 V8:XFD8 A9 V9:XFD9 A10 V10:XFD10 A11 V11:XFD11 A12 I12 V12:XFD12 A13 H13 V13:XFD13 A14 C14 V14:XFD14 A15:B15 V15:XFD15 A16 G16 V16:XFD16 A17 D17 V17:XFD17 A18 O18 V18:XFD18 A19 N19 V19:XFD19 A20 M20 V20:XFD20 A21 R21 V21:XFD21 F2:XF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B75A-34C1-C241-8BC6-A3AD879CBAA3}">
  <dimension ref="A1:K26"/>
  <sheetViews>
    <sheetView workbookViewId="0">
      <selection activeCell="B16" sqref="B16:K16"/>
    </sheetView>
  </sheetViews>
  <sheetFormatPr baseColWidth="10" defaultRowHeight="16"/>
  <cols>
    <col min="1" max="16384" width="10.83203125" style="1"/>
  </cols>
  <sheetData>
    <row r="1" spans="1:11">
      <c r="A1" s="1" t="s">
        <v>10</v>
      </c>
      <c r="B1" s="2">
        <v>11000</v>
      </c>
      <c r="C1" s="2">
        <v>10100</v>
      </c>
      <c r="D1" s="2" t="s">
        <v>1</v>
      </c>
      <c r="E1" s="2" t="s">
        <v>7</v>
      </c>
      <c r="F1" s="2" t="s">
        <v>2</v>
      </c>
      <c r="G1" s="2" t="s">
        <v>3</v>
      </c>
      <c r="H1" s="2" t="s">
        <v>4</v>
      </c>
      <c r="I1" s="2" t="s">
        <v>0</v>
      </c>
      <c r="J1" s="2" t="s">
        <v>5</v>
      </c>
      <c r="K1" s="2" t="s">
        <v>6</v>
      </c>
    </row>
    <row r="2" spans="1:11">
      <c r="A2" s="2">
        <v>11000</v>
      </c>
      <c r="B2" s="1" t="s">
        <v>8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8</v>
      </c>
    </row>
    <row r="3" spans="1:11">
      <c r="A3" s="2">
        <v>10100</v>
      </c>
      <c r="B3" s="1" t="s">
        <v>8</v>
      </c>
      <c r="C3" s="1" t="s">
        <v>9</v>
      </c>
      <c r="D3" s="1" t="s">
        <v>8</v>
      </c>
      <c r="E3" s="1" t="s">
        <v>8</v>
      </c>
      <c r="F3" s="1" t="s">
        <v>8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</row>
    <row r="4" spans="1:11">
      <c r="A4" s="2" t="s">
        <v>1</v>
      </c>
      <c r="B4" s="1" t="s">
        <v>9</v>
      </c>
      <c r="C4" s="1" t="s">
        <v>8</v>
      </c>
      <c r="D4" s="1" t="s">
        <v>9</v>
      </c>
      <c r="E4" s="1" t="s">
        <v>8</v>
      </c>
      <c r="F4" s="1" t="s">
        <v>9</v>
      </c>
      <c r="G4" s="1" t="s">
        <v>9</v>
      </c>
      <c r="H4" s="1" t="s">
        <v>8</v>
      </c>
      <c r="I4" s="1" t="s">
        <v>8</v>
      </c>
      <c r="J4" s="1" t="s">
        <v>9</v>
      </c>
      <c r="K4" s="1" t="s">
        <v>9</v>
      </c>
    </row>
    <row r="5" spans="1:11">
      <c r="A5" s="2" t="s">
        <v>7</v>
      </c>
      <c r="B5" s="1" t="s">
        <v>9</v>
      </c>
      <c r="C5" s="1" t="s">
        <v>9</v>
      </c>
      <c r="D5" s="1" t="s">
        <v>8</v>
      </c>
      <c r="E5" s="1" t="s">
        <v>9</v>
      </c>
      <c r="F5" s="1" t="s">
        <v>9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9</v>
      </c>
    </row>
    <row r="6" spans="1:11">
      <c r="A6" s="2" t="s">
        <v>2</v>
      </c>
      <c r="B6" s="1" t="s">
        <v>11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</row>
    <row r="7" spans="1:11">
      <c r="A7" s="2" t="s">
        <v>3</v>
      </c>
      <c r="B7" s="1" t="s">
        <v>9</v>
      </c>
      <c r="C7" s="1" t="s">
        <v>9</v>
      </c>
      <c r="D7" s="1" t="s">
        <v>11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</row>
    <row r="8" spans="1:11">
      <c r="A8" s="2" t="s">
        <v>4</v>
      </c>
      <c r="B8" s="1" t="s">
        <v>9</v>
      </c>
      <c r="C8" s="1" t="s">
        <v>11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</row>
    <row r="9" spans="1:11">
      <c r="A9" s="2" t="s">
        <v>0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11</v>
      </c>
      <c r="H9" s="1" t="s">
        <v>9</v>
      </c>
      <c r="I9" s="1" t="s">
        <v>9</v>
      </c>
      <c r="J9" s="1" t="s">
        <v>9</v>
      </c>
      <c r="K9" s="1" t="s">
        <v>9</v>
      </c>
    </row>
    <row r="10" spans="1:11">
      <c r="A10" s="2" t="s">
        <v>5</v>
      </c>
      <c r="B10" s="1" t="s">
        <v>9</v>
      </c>
      <c r="C10" s="1" t="s">
        <v>9</v>
      </c>
      <c r="D10" s="1" t="s">
        <v>9</v>
      </c>
      <c r="E10" s="1" t="s">
        <v>11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">
        <v>9</v>
      </c>
    </row>
    <row r="11" spans="1:11">
      <c r="A11" s="2" t="s">
        <v>6</v>
      </c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11</v>
      </c>
      <c r="J11" s="1" t="s">
        <v>9</v>
      </c>
      <c r="K11" s="1" t="s">
        <v>9</v>
      </c>
    </row>
    <row r="16" spans="1:11">
      <c r="A16" s="4"/>
      <c r="B16" s="5" t="s">
        <v>45</v>
      </c>
      <c r="C16" s="5" t="s">
        <v>46</v>
      </c>
      <c r="D16" s="5" t="s">
        <v>1</v>
      </c>
      <c r="E16" s="5" t="s">
        <v>7</v>
      </c>
      <c r="F16" s="5" t="s">
        <v>2</v>
      </c>
      <c r="G16" s="5" t="s">
        <v>3</v>
      </c>
      <c r="H16" s="5" t="s">
        <v>4</v>
      </c>
      <c r="I16" s="5" t="s">
        <v>0</v>
      </c>
      <c r="J16" s="5" t="s">
        <v>5</v>
      </c>
      <c r="K16" s="5" t="s">
        <v>6</v>
      </c>
    </row>
    <row r="17" spans="1:11">
      <c r="A17" s="5" t="s">
        <v>45</v>
      </c>
      <c r="B17" s="11">
        <v>0.25</v>
      </c>
      <c r="C17" s="11">
        <v>0.25</v>
      </c>
      <c r="D17" s="11">
        <v>0.25</v>
      </c>
      <c r="E17" s="11">
        <v>0.25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</row>
    <row r="18" spans="1:11">
      <c r="A18" s="5" t="s">
        <v>46</v>
      </c>
      <c r="B18" s="11">
        <v>0.25</v>
      </c>
      <c r="C18" s="11">
        <v>0</v>
      </c>
      <c r="D18" s="11">
        <v>0</v>
      </c>
      <c r="E18" s="11">
        <v>0</v>
      </c>
      <c r="F18" s="11">
        <v>0.25</v>
      </c>
      <c r="G18" s="11">
        <v>0.25</v>
      </c>
      <c r="H18" s="11">
        <v>0.25</v>
      </c>
      <c r="I18" s="11">
        <v>0</v>
      </c>
      <c r="J18" s="11">
        <v>0</v>
      </c>
      <c r="K18" s="11">
        <v>0</v>
      </c>
    </row>
    <row r="19" spans="1:11">
      <c r="A19" s="5" t="s">
        <v>1</v>
      </c>
      <c r="B19" s="11">
        <v>0</v>
      </c>
      <c r="C19" s="11">
        <v>0.25</v>
      </c>
      <c r="D19" s="11">
        <v>0</v>
      </c>
      <c r="E19" s="11">
        <v>0</v>
      </c>
      <c r="F19" s="11">
        <v>0.25</v>
      </c>
      <c r="G19" s="11">
        <v>0</v>
      </c>
      <c r="H19" s="11">
        <v>0</v>
      </c>
      <c r="I19" s="11">
        <v>0.25</v>
      </c>
      <c r="J19" s="11">
        <v>0.25</v>
      </c>
      <c r="K19" s="11">
        <v>0</v>
      </c>
    </row>
    <row r="20" spans="1:11">
      <c r="A20" s="5" t="s">
        <v>7</v>
      </c>
      <c r="B20" s="11">
        <v>0</v>
      </c>
      <c r="C20" s="11">
        <v>0</v>
      </c>
      <c r="D20" s="11">
        <v>1</v>
      </c>
      <c r="E20" s="11">
        <v>0</v>
      </c>
      <c r="F20" s="11">
        <v>0</v>
      </c>
      <c r="G20" s="11">
        <v>0</v>
      </c>
      <c r="H20" s="11">
        <v>0.25</v>
      </c>
      <c r="I20" s="11">
        <v>0</v>
      </c>
      <c r="J20" s="11">
        <v>0.25</v>
      </c>
      <c r="K20" s="11">
        <v>0.25</v>
      </c>
    </row>
    <row r="21" spans="1:11">
      <c r="A21" s="5" t="s">
        <v>2</v>
      </c>
      <c r="B21" s="11">
        <v>1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</row>
    <row r="22" spans="1:11">
      <c r="A22" s="5" t="s">
        <v>3</v>
      </c>
      <c r="B22" s="11">
        <v>0</v>
      </c>
      <c r="C22" s="11">
        <v>0</v>
      </c>
      <c r="D22" s="11">
        <v>1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</row>
    <row r="23" spans="1:11">
      <c r="A23" s="5" t="s">
        <v>4</v>
      </c>
      <c r="B23" s="11">
        <v>0</v>
      </c>
      <c r="C23" s="11">
        <v>1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</row>
    <row r="24" spans="1:11">
      <c r="A24" s="5" t="s">
        <v>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1</v>
      </c>
      <c r="I24" s="11">
        <v>0</v>
      </c>
      <c r="J24" s="11">
        <v>0</v>
      </c>
      <c r="K24" s="11">
        <v>0</v>
      </c>
    </row>
    <row r="25" spans="1:11">
      <c r="A25" s="5" t="s">
        <v>5</v>
      </c>
      <c r="B25" s="11">
        <v>0</v>
      </c>
      <c r="C25" s="11">
        <v>0</v>
      </c>
      <c r="D25" s="11">
        <v>0</v>
      </c>
      <c r="E25" s="11">
        <v>0</v>
      </c>
      <c r="F25" s="11">
        <v>1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</row>
    <row r="26" spans="1:11">
      <c r="A26" s="5" t="s">
        <v>6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</row>
  </sheetData>
  <pageMargins left="0.7" right="0.7" top="0.75" bottom="0.75" header="0.3" footer="0.3"/>
  <pageSetup paperSize="9" orientation="portrait" horizontalDpi="0" verticalDpi="0"/>
  <ignoredErrors>
    <ignoredError sqref="A6:K11 A2:K4 A5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9287-5CE5-914A-8869-E548BD96A3C0}">
  <dimension ref="A1:P49"/>
  <sheetViews>
    <sheetView workbookViewId="0">
      <selection activeCell="E15" sqref="E15"/>
    </sheetView>
  </sheetViews>
  <sheetFormatPr baseColWidth="10" defaultRowHeight="16"/>
  <cols>
    <col min="2" max="2" width="14.1640625" customWidth="1"/>
    <col min="13" max="13" width="12.1640625" bestFit="1" customWidth="1"/>
    <col min="16" max="16" width="14.5" bestFit="1" customWidth="1"/>
  </cols>
  <sheetData>
    <row r="1" spans="1:16">
      <c r="A1" s="1" t="s">
        <v>10</v>
      </c>
      <c r="B1" s="2">
        <v>11000</v>
      </c>
      <c r="C1" s="2">
        <v>10100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0</v>
      </c>
      <c r="I1" s="2" t="s">
        <v>5</v>
      </c>
      <c r="J1" s="2" t="s">
        <v>6</v>
      </c>
      <c r="K1" s="2" t="s">
        <v>7</v>
      </c>
      <c r="M1" s="2" t="s">
        <v>43</v>
      </c>
    </row>
    <row r="2" spans="1:16" ht="18">
      <c r="A2" s="2">
        <v>11000</v>
      </c>
      <c r="B2" s="1" t="s">
        <v>8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8</v>
      </c>
      <c r="M2" s="1">
        <f>SUM(B2:K2)</f>
        <v>0</v>
      </c>
      <c r="O2" t="s">
        <v>42</v>
      </c>
      <c r="P2" s="8">
        <v>1</v>
      </c>
    </row>
    <row r="3" spans="1:16">
      <c r="A3" s="2">
        <v>10100</v>
      </c>
      <c r="B3" s="1" t="s">
        <v>8</v>
      </c>
      <c r="C3" s="1" t="s">
        <v>9</v>
      </c>
      <c r="D3" s="1">
        <v>0</v>
      </c>
      <c r="E3" s="1" t="s">
        <v>8</v>
      </c>
      <c r="F3" s="1" t="s">
        <v>8</v>
      </c>
      <c r="G3" s="1" t="s">
        <v>8</v>
      </c>
      <c r="H3" s="1" t="s">
        <v>9</v>
      </c>
      <c r="I3" s="1" t="s">
        <v>9</v>
      </c>
      <c r="J3" s="1" t="s">
        <v>9</v>
      </c>
      <c r="K3" s="1" t="s">
        <v>9</v>
      </c>
      <c r="M3" s="1">
        <f t="shared" ref="M3:M11" si="0">SUM(B3:K3)</f>
        <v>0</v>
      </c>
      <c r="O3" t="s">
        <v>41</v>
      </c>
      <c r="P3">
        <v>298</v>
      </c>
    </row>
    <row r="4" spans="1:16">
      <c r="A4" s="2" t="s">
        <v>1</v>
      </c>
      <c r="B4" s="1" t="s">
        <v>9</v>
      </c>
      <c r="C4" s="1" t="s">
        <v>8</v>
      </c>
      <c r="D4" s="1" t="s">
        <v>9</v>
      </c>
      <c r="E4" s="1" t="s">
        <v>8</v>
      </c>
      <c r="F4" s="1" t="s">
        <v>9</v>
      </c>
      <c r="G4" s="1" t="s">
        <v>9</v>
      </c>
      <c r="H4" s="1" t="s">
        <v>8</v>
      </c>
      <c r="I4" s="1" t="s">
        <v>8</v>
      </c>
      <c r="J4" s="1" t="s">
        <v>9</v>
      </c>
      <c r="K4" s="1" t="s">
        <v>9</v>
      </c>
      <c r="M4" s="1">
        <f t="shared" si="0"/>
        <v>0</v>
      </c>
    </row>
    <row r="5" spans="1:16">
      <c r="A5" s="2" t="s">
        <v>7</v>
      </c>
      <c r="B5" s="1" t="s">
        <v>9</v>
      </c>
      <c r="C5" s="1" t="s">
        <v>9</v>
      </c>
      <c r="D5" s="1" t="s">
        <v>8</v>
      </c>
      <c r="E5" s="1" t="s">
        <v>9</v>
      </c>
      <c r="F5" s="1" t="s">
        <v>9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9</v>
      </c>
      <c r="M5" s="1">
        <f t="shared" si="0"/>
        <v>0</v>
      </c>
    </row>
    <row r="6" spans="1:16">
      <c r="A6" s="2" t="s">
        <v>2</v>
      </c>
      <c r="B6" s="1" t="s">
        <v>11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M6" s="1">
        <f t="shared" si="0"/>
        <v>0</v>
      </c>
    </row>
    <row r="7" spans="1:16">
      <c r="A7" s="2" t="s">
        <v>3</v>
      </c>
      <c r="B7" s="1" t="s">
        <v>9</v>
      </c>
      <c r="C7" s="1" t="s">
        <v>9</v>
      </c>
      <c r="D7" s="1" t="s">
        <v>11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M7" s="1">
        <f t="shared" si="0"/>
        <v>0</v>
      </c>
    </row>
    <row r="8" spans="1:16">
      <c r="A8" s="2" t="s">
        <v>4</v>
      </c>
      <c r="B8" s="1" t="s">
        <v>9</v>
      </c>
      <c r="C8" s="1" t="s">
        <v>11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M8" s="1">
        <f t="shared" si="0"/>
        <v>0</v>
      </c>
    </row>
    <row r="9" spans="1:16">
      <c r="A9" s="2" t="s">
        <v>0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11</v>
      </c>
      <c r="H9" s="1" t="s">
        <v>9</v>
      </c>
      <c r="I9" s="1" t="s">
        <v>9</v>
      </c>
      <c r="J9" s="1" t="s">
        <v>9</v>
      </c>
      <c r="K9" s="1" t="s">
        <v>9</v>
      </c>
      <c r="M9" s="1">
        <f t="shared" si="0"/>
        <v>0</v>
      </c>
    </row>
    <row r="10" spans="1:16">
      <c r="A10" s="2" t="s">
        <v>5</v>
      </c>
      <c r="B10" s="1" t="s">
        <v>9</v>
      </c>
      <c r="C10" s="1" t="s">
        <v>9</v>
      </c>
      <c r="D10" s="1" t="s">
        <v>9</v>
      </c>
      <c r="E10" s="1" t="s">
        <v>11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">
        <v>9</v>
      </c>
      <c r="M10" s="1">
        <f t="shared" si="0"/>
        <v>0</v>
      </c>
    </row>
    <row r="11" spans="1:16">
      <c r="A11" s="2" t="s">
        <v>6</v>
      </c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11</v>
      </c>
      <c r="J11" s="1" t="s">
        <v>9</v>
      </c>
      <c r="K11" s="1" t="s">
        <v>9</v>
      </c>
      <c r="M11" s="1">
        <f t="shared" si="0"/>
        <v>0</v>
      </c>
    </row>
    <row r="14" spans="1:16">
      <c r="A14" s="1" t="s">
        <v>10</v>
      </c>
      <c r="B14" s="2">
        <v>11000</v>
      </c>
      <c r="C14" s="2">
        <v>10100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0</v>
      </c>
      <c r="I14" s="2" t="s">
        <v>5</v>
      </c>
      <c r="J14" s="2" t="s">
        <v>6</v>
      </c>
      <c r="K14" s="2" t="s">
        <v>7</v>
      </c>
      <c r="M14" s="2" t="s">
        <v>43</v>
      </c>
    </row>
    <row r="15" spans="1:16">
      <c r="A15" s="2">
        <v>11000</v>
      </c>
      <c r="B15" s="9" t="s">
        <v>37</v>
      </c>
      <c r="C15" s="9" t="s">
        <v>38</v>
      </c>
      <c r="D15" s="9" t="s">
        <v>39</v>
      </c>
      <c r="E15" s="9">
        <v>-1</v>
      </c>
      <c r="F15" s="9">
        <v>-1</v>
      </c>
      <c r="G15" s="9">
        <v>-1</v>
      </c>
      <c r="H15" s="9">
        <v>-1</v>
      </c>
      <c r="I15" s="9">
        <v>-1</v>
      </c>
      <c r="J15" s="9">
        <v>-1</v>
      </c>
      <c r="K15" s="9" t="s">
        <v>40</v>
      </c>
      <c r="L15" s="7"/>
      <c r="M15" s="7">
        <f>SUMIF(B15:K15," &gt;0 ")</f>
        <v>0</v>
      </c>
    </row>
    <row r="16" spans="1:16">
      <c r="A16" s="2">
        <v>10100</v>
      </c>
      <c r="B16" s="9" t="s">
        <v>11</v>
      </c>
      <c r="C16" s="9">
        <v>-1</v>
      </c>
      <c r="D16" s="9">
        <v>-1</v>
      </c>
      <c r="E16" s="9" t="s">
        <v>38</v>
      </c>
      <c r="F16" s="9" t="s">
        <v>40</v>
      </c>
      <c r="G16" s="9" t="s">
        <v>39</v>
      </c>
      <c r="H16" s="9">
        <v>-1</v>
      </c>
      <c r="I16" s="9">
        <v>-1</v>
      </c>
      <c r="J16" s="9">
        <v>-1</v>
      </c>
      <c r="K16" s="9">
        <v>-1</v>
      </c>
      <c r="M16">
        <f t="shared" ref="M16:M24" si="1">SUM(B16:K16)</f>
        <v>-6</v>
      </c>
    </row>
    <row r="17" spans="1:13">
      <c r="A17" s="2" t="s">
        <v>1</v>
      </c>
      <c r="B17" s="9">
        <v>-1</v>
      </c>
      <c r="C17" s="9" t="s">
        <v>11</v>
      </c>
      <c r="D17" s="9">
        <v>-1</v>
      </c>
      <c r="E17" s="9" t="s">
        <v>37</v>
      </c>
      <c r="F17" s="9">
        <v>-1</v>
      </c>
      <c r="G17" s="9">
        <v>-1</v>
      </c>
      <c r="H17" s="9" t="s">
        <v>40</v>
      </c>
      <c r="I17" s="9" t="s">
        <v>39</v>
      </c>
      <c r="J17" s="9">
        <v>-1</v>
      </c>
      <c r="K17" s="9">
        <v>-1</v>
      </c>
      <c r="M17">
        <f t="shared" si="1"/>
        <v>-6</v>
      </c>
    </row>
    <row r="18" spans="1:13">
      <c r="A18" s="2" t="s">
        <v>7</v>
      </c>
      <c r="B18" s="9">
        <v>-1</v>
      </c>
      <c r="C18" s="9" t="s">
        <v>9</v>
      </c>
      <c r="D18" s="9" t="s">
        <v>11</v>
      </c>
      <c r="E18" s="9">
        <v>-1</v>
      </c>
      <c r="F18" s="9">
        <v>-1</v>
      </c>
      <c r="G18" s="9" t="s">
        <v>37</v>
      </c>
      <c r="H18" s="9">
        <v>-1</v>
      </c>
      <c r="I18" s="9" t="s">
        <v>38</v>
      </c>
      <c r="J18" s="9" t="s">
        <v>40</v>
      </c>
      <c r="K18" s="9">
        <v>-1</v>
      </c>
      <c r="M18">
        <f t="shared" si="1"/>
        <v>-5</v>
      </c>
    </row>
    <row r="19" spans="1:13">
      <c r="A19" s="2" t="s">
        <v>2</v>
      </c>
      <c r="B19" s="9">
        <v>0</v>
      </c>
      <c r="C19" s="9">
        <v>-1</v>
      </c>
      <c r="D19" s="9">
        <v>-1</v>
      </c>
      <c r="E19" s="9">
        <v>-1</v>
      </c>
      <c r="F19" s="9">
        <v>-1</v>
      </c>
      <c r="G19" s="9">
        <v>-1</v>
      </c>
      <c r="H19" s="9">
        <v>-1</v>
      </c>
      <c r="I19" s="9">
        <v>-1</v>
      </c>
      <c r="J19" s="9">
        <v>-1</v>
      </c>
      <c r="K19" s="9">
        <v>-1</v>
      </c>
      <c r="M19">
        <f t="shared" si="1"/>
        <v>-9</v>
      </c>
    </row>
    <row r="20" spans="1:13">
      <c r="A20" s="2" t="s">
        <v>3</v>
      </c>
      <c r="B20" s="9">
        <v>-1</v>
      </c>
      <c r="C20" s="9">
        <v>-1</v>
      </c>
      <c r="D20" s="9">
        <v>0</v>
      </c>
      <c r="E20" s="9">
        <v>-1</v>
      </c>
      <c r="F20" s="9">
        <v>-1</v>
      </c>
      <c r="G20" s="9">
        <v>-1</v>
      </c>
      <c r="H20" s="9">
        <v>-1</v>
      </c>
      <c r="I20" s="9">
        <v>-1</v>
      </c>
      <c r="J20" s="9">
        <v>-1</v>
      </c>
      <c r="K20" s="9">
        <v>-1</v>
      </c>
      <c r="M20">
        <f t="shared" si="1"/>
        <v>-9</v>
      </c>
    </row>
    <row r="21" spans="1:13">
      <c r="A21" s="2" t="s">
        <v>4</v>
      </c>
      <c r="B21" s="9">
        <v>-1</v>
      </c>
      <c r="C21" s="9">
        <v>0</v>
      </c>
      <c r="D21" s="9">
        <v>-1</v>
      </c>
      <c r="E21" s="9">
        <v>-1</v>
      </c>
      <c r="F21" s="9">
        <v>-1</v>
      </c>
      <c r="G21" s="9">
        <v>-1</v>
      </c>
      <c r="H21" s="9">
        <v>-1</v>
      </c>
      <c r="I21" s="9">
        <v>-1</v>
      </c>
      <c r="J21" s="9">
        <v>-1</v>
      </c>
      <c r="K21" s="9">
        <v>-1</v>
      </c>
      <c r="M21">
        <f t="shared" si="1"/>
        <v>-9</v>
      </c>
    </row>
    <row r="22" spans="1:13">
      <c r="A22" s="2" t="s">
        <v>0</v>
      </c>
      <c r="B22" s="9">
        <v>-1</v>
      </c>
      <c r="C22" s="9">
        <v>-1</v>
      </c>
      <c r="D22" s="9">
        <v>-1</v>
      </c>
      <c r="E22" s="9">
        <v>-1</v>
      </c>
      <c r="F22" s="9">
        <v>-1</v>
      </c>
      <c r="G22" s="9">
        <v>0</v>
      </c>
      <c r="H22" s="9">
        <v>-1</v>
      </c>
      <c r="I22" s="9">
        <v>-1</v>
      </c>
      <c r="J22" s="9">
        <v>-1</v>
      </c>
      <c r="K22" s="9">
        <v>-1</v>
      </c>
      <c r="M22">
        <f t="shared" si="1"/>
        <v>-9</v>
      </c>
    </row>
    <row r="23" spans="1:13">
      <c r="A23" s="2" t="s">
        <v>5</v>
      </c>
      <c r="B23" s="9">
        <v>-1</v>
      </c>
      <c r="C23" s="9">
        <v>-1</v>
      </c>
      <c r="D23" s="9">
        <v>-1</v>
      </c>
      <c r="E23" s="9">
        <v>0</v>
      </c>
      <c r="F23" s="9">
        <v>-1</v>
      </c>
      <c r="G23" s="9">
        <v>-1</v>
      </c>
      <c r="H23" s="9">
        <v>-1</v>
      </c>
      <c r="I23" s="9">
        <v>-1</v>
      </c>
      <c r="J23" s="9">
        <v>-1</v>
      </c>
      <c r="K23" s="9">
        <v>-1</v>
      </c>
      <c r="M23">
        <f t="shared" si="1"/>
        <v>-9</v>
      </c>
    </row>
    <row r="24" spans="1:13">
      <c r="A24" s="2" t="s">
        <v>6</v>
      </c>
      <c r="B24" s="9">
        <v>-1</v>
      </c>
      <c r="C24" s="9">
        <v>-1</v>
      </c>
      <c r="D24" s="9">
        <v>-1</v>
      </c>
      <c r="E24" s="9">
        <v>-1</v>
      </c>
      <c r="F24" s="9">
        <v>-1</v>
      </c>
      <c r="G24" s="9">
        <v>-1</v>
      </c>
      <c r="H24" s="9">
        <v>-1</v>
      </c>
      <c r="I24" s="9">
        <v>0</v>
      </c>
      <c r="J24" s="9">
        <v>-1</v>
      </c>
      <c r="K24" s="9">
        <v>-1</v>
      </c>
      <c r="M24">
        <f t="shared" si="1"/>
        <v>-9</v>
      </c>
    </row>
    <row r="25" spans="1:13">
      <c r="A25" s="2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3">
      <c r="A26" s="1" t="s">
        <v>10</v>
      </c>
      <c r="B26" s="2">
        <v>11000</v>
      </c>
      <c r="C26" s="2">
        <v>10100</v>
      </c>
      <c r="D26" s="2" t="s">
        <v>1</v>
      </c>
      <c r="E26" s="2" t="s">
        <v>2</v>
      </c>
      <c r="F26" s="2" t="s">
        <v>3</v>
      </c>
      <c r="G26" s="2" t="s">
        <v>4</v>
      </c>
      <c r="H26" s="2" t="s">
        <v>0</v>
      </c>
      <c r="I26" s="2" t="s">
        <v>5</v>
      </c>
      <c r="J26" s="2" t="s">
        <v>6</v>
      </c>
      <c r="K26" s="2" t="s">
        <v>7</v>
      </c>
      <c r="M26" s="2" t="s">
        <v>43</v>
      </c>
    </row>
    <row r="27" spans="1:13">
      <c r="A27" s="2">
        <v>11000</v>
      </c>
      <c r="B27">
        <f>IF(B15&gt;=0,EXP(B15)/($P$2*$P$3),0)</f>
        <v>2.4795490264867954E-2</v>
      </c>
      <c r="C27">
        <f t="shared" ref="C27:K27" si="2">IF(C15&gt;=0,EXP(C15)/($P$2*$P$3),0)</f>
        <v>6.740113061472372E-2</v>
      </c>
      <c r="D27">
        <f t="shared" si="2"/>
        <v>0.18321526856759812</v>
      </c>
      <c r="E27">
        <f t="shared" si="2"/>
        <v>0</v>
      </c>
      <c r="F27">
        <f t="shared" si="2"/>
        <v>0</v>
      </c>
      <c r="G27">
        <f t="shared" si="2"/>
        <v>0</v>
      </c>
      <c r="H27">
        <f t="shared" si="2"/>
        <v>0</v>
      </c>
      <c r="I27">
        <f t="shared" si="2"/>
        <v>0</v>
      </c>
      <c r="J27">
        <f t="shared" si="2"/>
        <v>0</v>
      </c>
      <c r="K27">
        <f t="shared" si="2"/>
        <v>0.49803073524354563</v>
      </c>
      <c r="M27">
        <f>SUM(B27:K27)</f>
        <v>0.77344262469073544</v>
      </c>
    </row>
    <row r="28" spans="1:13">
      <c r="A28" s="2">
        <v>10100</v>
      </c>
      <c r="B28">
        <f t="shared" ref="B28:K28" si="3">IF(B16&gt;=0,EXP(B16)/($P$2*$P$3),0)</f>
        <v>9.1217511022115613E-3</v>
      </c>
      <c r="C28">
        <f t="shared" si="3"/>
        <v>0</v>
      </c>
      <c r="D28">
        <f t="shared" si="3"/>
        <v>0</v>
      </c>
      <c r="E28">
        <f t="shared" si="3"/>
        <v>6.740113061472372E-2</v>
      </c>
      <c r="F28">
        <f t="shared" si="3"/>
        <v>0.49803073524354563</v>
      </c>
      <c r="G28">
        <f t="shared" si="3"/>
        <v>0.18321526856759812</v>
      </c>
      <c r="H28">
        <f t="shared" si="3"/>
        <v>0</v>
      </c>
      <c r="I28">
        <f t="shared" si="3"/>
        <v>0</v>
      </c>
      <c r="J28">
        <f t="shared" si="3"/>
        <v>0</v>
      </c>
      <c r="K28">
        <f t="shared" si="3"/>
        <v>0</v>
      </c>
      <c r="M28">
        <f t="shared" ref="M28:M36" si="4">SUM(B28:K28)</f>
        <v>0.75776888552807908</v>
      </c>
    </row>
    <row r="29" spans="1:13">
      <c r="A29" s="2" t="s">
        <v>1</v>
      </c>
      <c r="B29">
        <f t="shared" ref="B29:K29" si="5">IF(B17&gt;=0,EXP(B17)/($P$2*$P$3),0)</f>
        <v>0</v>
      </c>
      <c r="C29">
        <f t="shared" si="5"/>
        <v>9.1217511022115613E-3</v>
      </c>
      <c r="D29">
        <f t="shared" si="5"/>
        <v>0</v>
      </c>
      <c r="E29">
        <f t="shared" si="5"/>
        <v>2.4795490264867954E-2</v>
      </c>
      <c r="F29">
        <f t="shared" si="5"/>
        <v>0</v>
      </c>
      <c r="G29">
        <f t="shared" si="5"/>
        <v>0</v>
      </c>
      <c r="H29">
        <f t="shared" si="5"/>
        <v>0.49803073524354563</v>
      </c>
      <c r="I29">
        <f t="shared" si="5"/>
        <v>0.18321526856759812</v>
      </c>
      <c r="J29">
        <f t="shared" si="5"/>
        <v>0</v>
      </c>
      <c r="K29">
        <f t="shared" si="5"/>
        <v>0</v>
      </c>
      <c r="M29">
        <f t="shared" si="4"/>
        <v>0.71516324517822327</v>
      </c>
    </row>
    <row r="30" spans="1:13">
      <c r="A30" s="2" t="s">
        <v>7</v>
      </c>
      <c r="B30">
        <f t="shared" ref="B30:K30" si="6">IF(B18&gt;=0,EXP(B18)/($P$2*$P$3),0)</f>
        <v>0</v>
      </c>
      <c r="C30">
        <f t="shared" si="6"/>
        <v>3.3557046979865771E-3</v>
      </c>
      <c r="D30">
        <f t="shared" si="6"/>
        <v>9.1217511022115613E-3</v>
      </c>
      <c r="E30">
        <f t="shared" si="6"/>
        <v>0</v>
      </c>
      <c r="F30">
        <f t="shared" si="6"/>
        <v>0</v>
      </c>
      <c r="G30">
        <f t="shared" si="6"/>
        <v>2.4795490264867954E-2</v>
      </c>
      <c r="H30">
        <f t="shared" si="6"/>
        <v>0</v>
      </c>
      <c r="I30">
        <f t="shared" si="6"/>
        <v>6.740113061472372E-2</v>
      </c>
      <c r="J30">
        <f t="shared" si="6"/>
        <v>0.49803073524354563</v>
      </c>
      <c r="K30">
        <f t="shared" si="6"/>
        <v>0</v>
      </c>
      <c r="M30">
        <f t="shared" si="4"/>
        <v>0.60270481192333547</v>
      </c>
    </row>
    <row r="31" spans="1:13">
      <c r="A31" s="2" t="s">
        <v>2</v>
      </c>
      <c r="B31">
        <f t="shared" ref="B31:K31" si="7">IF(B19&gt;=0,EXP(B19)/($P$2*$P$3),0)</f>
        <v>3.3557046979865771E-3</v>
      </c>
      <c r="C31">
        <f t="shared" si="7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7"/>
        <v>0</v>
      </c>
      <c r="I31">
        <f t="shared" si="7"/>
        <v>0</v>
      </c>
      <c r="J31">
        <f t="shared" si="7"/>
        <v>0</v>
      </c>
      <c r="K31">
        <f t="shared" si="7"/>
        <v>0</v>
      </c>
      <c r="M31">
        <f t="shared" si="4"/>
        <v>3.3557046979865771E-3</v>
      </c>
    </row>
    <row r="32" spans="1:13">
      <c r="A32" s="2" t="s">
        <v>3</v>
      </c>
      <c r="B32">
        <f t="shared" ref="B32:K32" si="8">IF(B20&gt;=0,EXP(B20)/($P$2*$P$3),0)</f>
        <v>0</v>
      </c>
      <c r="C32">
        <f t="shared" si="8"/>
        <v>0</v>
      </c>
      <c r="D32">
        <f t="shared" si="8"/>
        <v>3.3557046979865771E-3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0</v>
      </c>
      <c r="J32">
        <f t="shared" si="8"/>
        <v>0</v>
      </c>
      <c r="K32">
        <f t="shared" si="8"/>
        <v>0</v>
      </c>
      <c r="M32">
        <f t="shared" si="4"/>
        <v>3.3557046979865771E-3</v>
      </c>
    </row>
    <row r="33" spans="1:15">
      <c r="A33" s="2" t="s">
        <v>4</v>
      </c>
      <c r="B33">
        <f t="shared" ref="B33:K33" si="9">IF(B21&gt;=0,EXP(B21)/($P$2*$P$3),0)</f>
        <v>0</v>
      </c>
      <c r="C33">
        <f t="shared" si="9"/>
        <v>3.3557046979865771E-3</v>
      </c>
      <c r="D33">
        <f t="shared" si="9"/>
        <v>0</v>
      </c>
      <c r="E33">
        <f t="shared" si="9"/>
        <v>0</v>
      </c>
      <c r="F33">
        <f t="shared" si="9"/>
        <v>0</v>
      </c>
      <c r="G33">
        <f t="shared" si="9"/>
        <v>0</v>
      </c>
      <c r="H33">
        <f t="shared" si="9"/>
        <v>0</v>
      </c>
      <c r="I33">
        <f t="shared" si="9"/>
        <v>0</v>
      </c>
      <c r="J33">
        <f t="shared" si="9"/>
        <v>0</v>
      </c>
      <c r="K33">
        <f t="shared" si="9"/>
        <v>0</v>
      </c>
      <c r="M33">
        <f t="shared" si="4"/>
        <v>3.3557046979865771E-3</v>
      </c>
    </row>
    <row r="34" spans="1:15">
      <c r="A34" s="2" t="s">
        <v>0</v>
      </c>
      <c r="B34">
        <f t="shared" ref="B34:K34" si="10">IF(B22&gt;=0,EXP(B22)/($P$2*$P$3),0)</f>
        <v>0</v>
      </c>
      <c r="C34">
        <f t="shared" si="10"/>
        <v>0</v>
      </c>
      <c r="D34">
        <f t="shared" si="10"/>
        <v>0</v>
      </c>
      <c r="E34">
        <f t="shared" si="10"/>
        <v>0</v>
      </c>
      <c r="F34">
        <f t="shared" si="10"/>
        <v>0</v>
      </c>
      <c r="G34">
        <f t="shared" si="10"/>
        <v>3.3557046979865771E-3</v>
      </c>
      <c r="H34">
        <f t="shared" si="10"/>
        <v>0</v>
      </c>
      <c r="I34">
        <f t="shared" si="10"/>
        <v>0</v>
      </c>
      <c r="J34">
        <f t="shared" si="10"/>
        <v>0</v>
      </c>
      <c r="K34">
        <f t="shared" si="10"/>
        <v>0</v>
      </c>
      <c r="M34">
        <f t="shared" si="4"/>
        <v>3.3557046979865771E-3</v>
      </c>
    </row>
    <row r="35" spans="1:15">
      <c r="A35" s="2" t="s">
        <v>5</v>
      </c>
      <c r="B35">
        <f t="shared" ref="B35:K35" si="11">IF(B23&gt;=0,EXP(B23)/($P$2*$P$3),0)</f>
        <v>0</v>
      </c>
      <c r="C35">
        <f t="shared" si="11"/>
        <v>0</v>
      </c>
      <c r="D35">
        <f t="shared" si="11"/>
        <v>0</v>
      </c>
      <c r="E35">
        <f t="shared" si="11"/>
        <v>3.3557046979865771E-3</v>
      </c>
      <c r="F35">
        <f t="shared" si="11"/>
        <v>0</v>
      </c>
      <c r="G35">
        <f t="shared" si="11"/>
        <v>0</v>
      </c>
      <c r="H35">
        <f t="shared" si="11"/>
        <v>0</v>
      </c>
      <c r="I35">
        <f t="shared" si="11"/>
        <v>0</v>
      </c>
      <c r="J35">
        <f t="shared" si="11"/>
        <v>0</v>
      </c>
      <c r="K35">
        <f t="shared" si="11"/>
        <v>0</v>
      </c>
      <c r="M35">
        <f t="shared" si="4"/>
        <v>3.3557046979865771E-3</v>
      </c>
    </row>
    <row r="36" spans="1:15">
      <c r="A36" s="2" t="s">
        <v>6</v>
      </c>
      <c r="B36">
        <f t="shared" ref="B36:K36" si="12">IF(B24&gt;=0,EXP(B24)/($P$2*$P$3),0)</f>
        <v>0</v>
      </c>
      <c r="C36">
        <f t="shared" si="12"/>
        <v>0</v>
      </c>
      <c r="D36">
        <f t="shared" si="12"/>
        <v>0</v>
      </c>
      <c r="E36">
        <f t="shared" si="12"/>
        <v>0</v>
      </c>
      <c r="F36">
        <f t="shared" si="12"/>
        <v>0</v>
      </c>
      <c r="G36">
        <f t="shared" si="12"/>
        <v>0</v>
      </c>
      <c r="H36">
        <f t="shared" si="12"/>
        <v>0</v>
      </c>
      <c r="I36">
        <f t="shared" si="12"/>
        <v>3.3557046979865771E-3</v>
      </c>
      <c r="J36">
        <f t="shared" si="12"/>
        <v>0</v>
      </c>
      <c r="K36">
        <f t="shared" si="12"/>
        <v>0</v>
      </c>
      <c r="M36">
        <f t="shared" si="4"/>
        <v>3.3557046979865771E-3</v>
      </c>
    </row>
    <row r="39" spans="1:15">
      <c r="A39" s="1" t="s">
        <v>10</v>
      </c>
      <c r="B39" s="2">
        <v>11000</v>
      </c>
      <c r="C39" s="2">
        <v>10100</v>
      </c>
      <c r="D39" s="2" t="s">
        <v>1</v>
      </c>
      <c r="E39" s="2" t="s">
        <v>2</v>
      </c>
      <c r="F39" s="2" t="s">
        <v>3</v>
      </c>
      <c r="G39" s="2" t="s">
        <v>4</v>
      </c>
      <c r="H39" s="2" t="s">
        <v>0</v>
      </c>
      <c r="I39" s="2" t="s">
        <v>5</v>
      </c>
      <c r="J39" s="2" t="s">
        <v>6</v>
      </c>
      <c r="K39" s="2" t="s">
        <v>7</v>
      </c>
      <c r="M39" s="2" t="s">
        <v>43</v>
      </c>
    </row>
    <row r="40" spans="1:15">
      <c r="A40" s="2">
        <v>11000</v>
      </c>
      <c r="B40">
        <f>B27/$M$27</f>
        <v>3.2058603280084988E-2</v>
      </c>
      <c r="C40">
        <f t="shared" ref="C40:K40" si="13">C27/$M$27</f>
        <v>8.7144318742032573E-2</v>
      </c>
      <c r="D40">
        <f t="shared" si="13"/>
        <v>0.23688281808991013</v>
      </c>
      <c r="E40">
        <f t="shared" si="13"/>
        <v>0</v>
      </c>
      <c r="F40">
        <f t="shared" si="13"/>
        <v>0</v>
      </c>
      <c r="G40">
        <f t="shared" si="13"/>
        <v>0</v>
      </c>
      <c r="H40">
        <f t="shared" si="13"/>
        <v>0</v>
      </c>
      <c r="I40">
        <f t="shared" si="13"/>
        <v>0</v>
      </c>
      <c r="J40">
        <f t="shared" si="13"/>
        <v>0</v>
      </c>
      <c r="K40">
        <f t="shared" si="13"/>
        <v>0.64391425988797224</v>
      </c>
      <c r="M40">
        <f>SUM(B40:K40)</f>
        <v>1</v>
      </c>
    </row>
    <row r="41" spans="1:15">
      <c r="A41" s="2">
        <v>10100</v>
      </c>
      <c r="B41">
        <f>B28/$M$28</f>
        <v>1.2037642711939451E-2</v>
      </c>
      <c r="C41">
        <f t="shared" ref="C41:K41" si="14">C28/$M$28</f>
        <v>0</v>
      </c>
      <c r="D41">
        <f t="shared" si="14"/>
        <v>0</v>
      </c>
      <c r="E41">
        <f t="shared" si="14"/>
        <v>8.8946817297404293E-2</v>
      </c>
      <c r="F41">
        <f t="shared" si="14"/>
        <v>0.65723302283185536</v>
      </c>
      <c r="G41">
        <f t="shared" si="14"/>
        <v>0.24178251715880078</v>
      </c>
      <c r="H41">
        <f t="shared" si="14"/>
        <v>0</v>
      </c>
      <c r="I41">
        <f t="shared" si="14"/>
        <v>0</v>
      </c>
      <c r="J41">
        <f t="shared" si="14"/>
        <v>0</v>
      </c>
      <c r="K41">
        <f t="shared" si="14"/>
        <v>0</v>
      </c>
      <c r="M41">
        <f t="shared" ref="M41:M49" si="15">SUM(B41:K41)</f>
        <v>1</v>
      </c>
    </row>
    <row r="42" spans="1:15">
      <c r="A42" s="2" t="s">
        <v>1</v>
      </c>
      <c r="B42">
        <f>B29/$M$29</f>
        <v>0</v>
      </c>
      <c r="C42">
        <f t="shared" ref="C42:K42" si="16">C29/$M$29</f>
        <v>1.2754781742087938E-2</v>
      </c>
      <c r="D42">
        <f t="shared" si="16"/>
        <v>0</v>
      </c>
      <c r="E42">
        <f t="shared" si="16"/>
        <v>3.4671091435478842E-2</v>
      </c>
      <c r="F42">
        <f t="shared" si="16"/>
        <v>0</v>
      </c>
      <c r="G42">
        <f t="shared" si="16"/>
        <v>0</v>
      </c>
      <c r="H42">
        <f t="shared" si="16"/>
        <v>0.69638748719452603</v>
      </c>
      <c r="I42">
        <f t="shared" si="16"/>
        <v>0.25618663962790722</v>
      </c>
      <c r="J42">
        <f t="shared" si="16"/>
        <v>0</v>
      </c>
      <c r="K42">
        <f t="shared" si="16"/>
        <v>0</v>
      </c>
      <c r="M42">
        <f t="shared" si="15"/>
        <v>1</v>
      </c>
    </row>
    <row r="43" spans="1:15">
      <c r="A43" s="2" t="s">
        <v>7</v>
      </c>
      <c r="B43">
        <f>B30/$M$30</f>
        <v>0</v>
      </c>
      <c r="C43">
        <f t="shared" ref="C43:K43" si="17">C30/$M$30</f>
        <v>5.5677416732047352E-3</v>
      </c>
      <c r="D43">
        <f t="shared" si="17"/>
        <v>1.5134691015826592E-2</v>
      </c>
      <c r="E43">
        <f t="shared" si="17"/>
        <v>0</v>
      </c>
      <c r="F43">
        <f t="shared" si="17"/>
        <v>0</v>
      </c>
      <c r="G43">
        <f t="shared" si="17"/>
        <v>4.1140355567663794E-2</v>
      </c>
      <c r="H43">
        <f t="shared" si="17"/>
        <v>0</v>
      </c>
      <c r="I43">
        <f t="shared" si="17"/>
        <v>0.11183108095592441</v>
      </c>
      <c r="J43">
        <f t="shared" si="17"/>
        <v>0.82632613078738038</v>
      </c>
      <c r="K43">
        <f t="shared" si="17"/>
        <v>0</v>
      </c>
      <c r="M43">
        <f t="shared" si="15"/>
        <v>0.99999999999999989</v>
      </c>
      <c r="O43" t="s">
        <v>44</v>
      </c>
    </row>
    <row r="44" spans="1:15">
      <c r="A44" s="2" t="s">
        <v>2</v>
      </c>
      <c r="B44">
        <f>B31/$M$31</f>
        <v>1</v>
      </c>
      <c r="C44">
        <f t="shared" ref="C44:K44" si="18">C31/$M$31</f>
        <v>0</v>
      </c>
      <c r="D44">
        <f t="shared" si="18"/>
        <v>0</v>
      </c>
      <c r="E44">
        <f t="shared" si="18"/>
        <v>0</v>
      </c>
      <c r="F44">
        <f t="shared" si="18"/>
        <v>0</v>
      </c>
      <c r="G44">
        <f t="shared" si="18"/>
        <v>0</v>
      </c>
      <c r="H44">
        <f t="shared" si="18"/>
        <v>0</v>
      </c>
      <c r="I44">
        <f t="shared" si="18"/>
        <v>0</v>
      </c>
      <c r="J44">
        <f t="shared" si="18"/>
        <v>0</v>
      </c>
      <c r="K44">
        <f t="shared" si="18"/>
        <v>0</v>
      </c>
      <c r="M44">
        <f t="shared" si="15"/>
        <v>1</v>
      </c>
    </row>
    <row r="45" spans="1:15">
      <c r="A45" s="2" t="s">
        <v>3</v>
      </c>
      <c r="B45">
        <f>B32/$M$32</f>
        <v>0</v>
      </c>
      <c r="C45">
        <f t="shared" ref="C45:K45" si="19">C32/$M$32</f>
        <v>0</v>
      </c>
      <c r="D45">
        <f t="shared" si="19"/>
        <v>1</v>
      </c>
      <c r="E45">
        <f t="shared" si="19"/>
        <v>0</v>
      </c>
      <c r="F45">
        <f t="shared" si="19"/>
        <v>0</v>
      </c>
      <c r="G45">
        <f t="shared" si="19"/>
        <v>0</v>
      </c>
      <c r="H45">
        <f t="shared" si="19"/>
        <v>0</v>
      </c>
      <c r="I45">
        <f t="shared" si="19"/>
        <v>0</v>
      </c>
      <c r="J45">
        <f t="shared" si="19"/>
        <v>0</v>
      </c>
      <c r="K45">
        <f t="shared" si="19"/>
        <v>0</v>
      </c>
      <c r="M45">
        <f t="shared" si="15"/>
        <v>1</v>
      </c>
    </row>
    <row r="46" spans="1:15">
      <c r="A46" s="2" t="s">
        <v>4</v>
      </c>
      <c r="B46">
        <f>B33/$M$33</f>
        <v>0</v>
      </c>
      <c r="C46">
        <f t="shared" ref="C46:K46" si="20">C33/$M$33</f>
        <v>1</v>
      </c>
      <c r="D46">
        <f t="shared" si="20"/>
        <v>0</v>
      </c>
      <c r="E46">
        <f t="shared" si="20"/>
        <v>0</v>
      </c>
      <c r="F46">
        <f t="shared" si="20"/>
        <v>0</v>
      </c>
      <c r="G46">
        <f t="shared" si="20"/>
        <v>0</v>
      </c>
      <c r="H46">
        <f t="shared" si="20"/>
        <v>0</v>
      </c>
      <c r="I46">
        <f t="shared" si="20"/>
        <v>0</v>
      </c>
      <c r="J46">
        <f t="shared" si="20"/>
        <v>0</v>
      </c>
      <c r="K46">
        <f t="shared" si="20"/>
        <v>0</v>
      </c>
      <c r="M46">
        <f t="shared" si="15"/>
        <v>1</v>
      </c>
    </row>
    <row r="47" spans="1:15">
      <c r="A47" s="2" t="s">
        <v>0</v>
      </c>
      <c r="B47">
        <f>B34/$M$34</f>
        <v>0</v>
      </c>
      <c r="C47">
        <f t="shared" ref="C47:K47" si="21">C34/$M$34</f>
        <v>0</v>
      </c>
      <c r="D47">
        <f t="shared" si="21"/>
        <v>0</v>
      </c>
      <c r="E47">
        <f t="shared" si="21"/>
        <v>0</v>
      </c>
      <c r="F47">
        <f t="shared" si="21"/>
        <v>0</v>
      </c>
      <c r="G47">
        <f t="shared" si="21"/>
        <v>1</v>
      </c>
      <c r="H47">
        <f t="shared" si="21"/>
        <v>0</v>
      </c>
      <c r="I47">
        <f t="shared" si="21"/>
        <v>0</v>
      </c>
      <c r="J47">
        <f t="shared" si="21"/>
        <v>0</v>
      </c>
      <c r="K47">
        <f t="shared" si="21"/>
        <v>0</v>
      </c>
      <c r="M47">
        <f t="shared" si="15"/>
        <v>1</v>
      </c>
    </row>
    <row r="48" spans="1:15">
      <c r="A48" s="2" t="s">
        <v>5</v>
      </c>
      <c r="B48">
        <f>B35/$M$35</f>
        <v>0</v>
      </c>
      <c r="C48">
        <f t="shared" ref="C48:K48" si="22">C35/$M$35</f>
        <v>0</v>
      </c>
      <c r="D48">
        <f t="shared" si="22"/>
        <v>0</v>
      </c>
      <c r="E48">
        <f t="shared" si="22"/>
        <v>1</v>
      </c>
      <c r="F48">
        <f t="shared" si="22"/>
        <v>0</v>
      </c>
      <c r="G48">
        <f t="shared" si="22"/>
        <v>0</v>
      </c>
      <c r="H48">
        <f t="shared" si="22"/>
        <v>0</v>
      </c>
      <c r="I48">
        <f t="shared" si="22"/>
        <v>0</v>
      </c>
      <c r="J48">
        <f t="shared" si="22"/>
        <v>0</v>
      </c>
      <c r="K48">
        <f t="shared" si="22"/>
        <v>0</v>
      </c>
      <c r="M48">
        <f t="shared" si="15"/>
        <v>1</v>
      </c>
    </row>
    <row r="49" spans="1:13">
      <c r="A49" s="2" t="s">
        <v>6</v>
      </c>
      <c r="B49">
        <f>B36/$M$36</f>
        <v>0</v>
      </c>
      <c r="C49">
        <f t="shared" ref="C49:K49" si="23">C36/$M$36</f>
        <v>0</v>
      </c>
      <c r="D49">
        <f t="shared" si="23"/>
        <v>0</v>
      </c>
      <c r="E49">
        <f t="shared" si="23"/>
        <v>0</v>
      </c>
      <c r="F49">
        <f t="shared" si="23"/>
        <v>0</v>
      </c>
      <c r="G49">
        <f t="shared" si="23"/>
        <v>0</v>
      </c>
      <c r="H49">
        <f t="shared" si="23"/>
        <v>0</v>
      </c>
      <c r="I49">
        <f t="shared" si="23"/>
        <v>1</v>
      </c>
      <c r="J49">
        <f t="shared" si="23"/>
        <v>0</v>
      </c>
      <c r="K49">
        <f t="shared" si="23"/>
        <v>0</v>
      </c>
      <c r="M49">
        <f t="shared" si="15"/>
        <v>1</v>
      </c>
    </row>
  </sheetData>
  <pageMargins left="0.7" right="0.7" top="0.75" bottom="0.75" header="0.3" footer="0.3"/>
  <pageSetup paperSize="9" orientation="portrait" horizontalDpi="0" verticalDpi="0"/>
  <ignoredErrors>
    <ignoredError sqref="A1:K2 A4:K11 A3:C3 E3:F3 G3:K3 D14 A19 E14:K14 B15:D15 E16:G16 K15 A17 H17:I17 E17 A23:A24 A20 A21 A22 C17 A18 C18:D18 G18 I18:J18 B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D415-5476-8A43-9D19-7BB8ED72718D}">
  <dimension ref="A1:U64"/>
  <sheetViews>
    <sheetView topLeftCell="A22" workbookViewId="0">
      <selection activeCell="B49" sqref="B49:M65"/>
    </sheetView>
  </sheetViews>
  <sheetFormatPr baseColWidth="10" defaultRowHeight="16"/>
  <cols>
    <col min="1" max="1" width="33.5" bestFit="1" customWidth="1"/>
  </cols>
  <sheetData>
    <row r="1" spans="1:21">
      <c r="A1" t="s">
        <v>32</v>
      </c>
      <c r="B1" s="6">
        <v>0.18847802599937299</v>
      </c>
      <c r="C1" s="6">
        <v>0.13238461045923999</v>
      </c>
      <c r="D1" s="6">
        <v>9.2592067265413996E-2</v>
      </c>
      <c r="E1" s="6">
        <v>4.7119506499842999E-2</v>
      </c>
      <c r="F1" s="6">
        <v>3.3096152614809998E-2</v>
      </c>
      <c r="G1" s="6">
        <v>6.7550711258479001E-2</v>
      </c>
      <c r="H1" s="6">
        <v>0.101674583947628</v>
      </c>
      <c r="I1" s="6">
        <v>4.6146900751256999E-2</v>
      </c>
      <c r="J1" s="6">
        <v>2.3148016816353E-2</v>
      </c>
      <c r="K1" s="6">
        <v>1.1779876624961E-2</v>
      </c>
      <c r="L1" s="6">
        <v>8.2740381537029992E-3</v>
      </c>
      <c r="M1" s="6">
        <v>3.3893689328651E-2</v>
      </c>
      <c r="N1" s="6">
        <v>4.5229409328424001E-2</v>
      </c>
      <c r="O1" s="6">
        <v>8.2843720897812001E-2</v>
      </c>
      <c r="P1" s="6">
        <v>1.688767781462E-2</v>
      </c>
      <c r="Q1" s="6">
        <v>2.5418645986907001E-2</v>
      </c>
      <c r="R1" s="6">
        <v>2.3213667704383E-2</v>
      </c>
      <c r="S1" s="6">
        <v>1.1536725187814E-2</v>
      </c>
      <c r="T1" s="6">
        <v>5.7870042040880001E-3</v>
      </c>
      <c r="U1" s="6">
        <v>2.9449691562400001E-3</v>
      </c>
    </row>
    <row r="2" spans="1:21">
      <c r="A2" t="s">
        <v>35</v>
      </c>
      <c r="B2">
        <f>SUM(B1:U1)</f>
        <v>1.0000000000000002</v>
      </c>
    </row>
    <row r="3" spans="1:21">
      <c r="A3" t="s">
        <v>33</v>
      </c>
      <c r="B3">
        <v>0.61339513790178901</v>
      </c>
      <c r="C3">
        <v>0.430841080588304</v>
      </c>
      <c r="D3">
        <v>0.30133764171038702</v>
      </c>
      <c r="E3">
        <v>0.153348784475447</v>
      </c>
      <c r="F3">
        <v>0.107710270147076</v>
      </c>
      <c r="G3">
        <v>0.21984142516378299</v>
      </c>
      <c r="H3">
        <v>0.33089637431723801</v>
      </c>
      <c r="I3">
        <v>0.150183473112943</v>
      </c>
      <c r="J3">
        <v>7.5334410427597004E-2</v>
      </c>
      <c r="K3">
        <v>3.8337196118862001E-2</v>
      </c>
      <c r="L3">
        <v>2.6927567536769E-2</v>
      </c>
      <c r="M3">
        <v>0.11030582546433</v>
      </c>
      <c r="N3">
        <v>0.14719752939431499</v>
      </c>
      <c r="O3">
        <v>0.26961198969995598</v>
      </c>
      <c r="P3">
        <v>5.4960356290944999E-2</v>
      </c>
      <c r="Q3">
        <v>8.2724093579310001E-2</v>
      </c>
      <c r="R3">
        <v>7.5548068944566005E-2</v>
      </c>
      <c r="S3">
        <v>3.7545868278236E-2</v>
      </c>
      <c r="T3">
        <v>1.8833602606899001E-2</v>
      </c>
      <c r="U3">
        <v>9.5842990297150005E-3</v>
      </c>
    </row>
    <row r="4" spans="1:21">
      <c r="A4" t="s">
        <v>36</v>
      </c>
      <c r="B4">
        <f>SUM(B3:U3)</f>
        <v>3.2544649947884667</v>
      </c>
    </row>
    <row r="5" spans="1:21">
      <c r="A5" t="s">
        <v>34</v>
      </c>
      <c r="B5" s="6">
        <f>B3/$B$4</f>
        <v>0.18847802599937272</v>
      </c>
      <c r="C5" s="6">
        <f t="shared" ref="C5:U5" si="0">C3/$B$4</f>
        <v>0.1323846104592401</v>
      </c>
      <c r="D5" s="6">
        <f t="shared" si="0"/>
        <v>9.2592067265413414E-2</v>
      </c>
      <c r="E5" s="6">
        <f t="shared" si="0"/>
        <v>4.7119506499843103E-2</v>
      </c>
      <c r="F5" s="6">
        <f t="shared" si="0"/>
        <v>3.3096152614810026E-2</v>
      </c>
      <c r="G5" s="6">
        <f t="shared" si="0"/>
        <v>6.7550711258478974E-2</v>
      </c>
      <c r="H5" s="6">
        <f t="shared" si="0"/>
        <v>0.10167458394762841</v>
      </c>
      <c r="I5" s="6">
        <f t="shared" si="0"/>
        <v>4.6146900751256846E-2</v>
      </c>
      <c r="J5" s="6">
        <f t="shared" si="0"/>
        <v>2.314801681635343E-2</v>
      </c>
      <c r="K5" s="6">
        <f t="shared" si="0"/>
        <v>1.1779876624960852E-2</v>
      </c>
      <c r="L5" s="6">
        <f t="shared" si="0"/>
        <v>8.2740381537025065E-3</v>
      </c>
      <c r="M5" s="6">
        <f t="shared" si="0"/>
        <v>3.3893689328650972E-2</v>
      </c>
      <c r="N5" s="6">
        <f t="shared" si="0"/>
        <v>4.5229409328424043E-2</v>
      </c>
      <c r="O5" s="6">
        <f t="shared" si="0"/>
        <v>8.284372089781232E-2</v>
      </c>
      <c r="P5" s="6">
        <f t="shared" si="0"/>
        <v>1.6887677814619514E-2</v>
      </c>
      <c r="Q5" s="6">
        <f t="shared" si="0"/>
        <v>2.5418645986907254E-2</v>
      </c>
      <c r="R5" s="6">
        <f t="shared" si="0"/>
        <v>2.3213667704382997E-2</v>
      </c>
      <c r="S5" s="6">
        <f t="shared" si="0"/>
        <v>1.1536725187814288E-2</v>
      </c>
      <c r="T5" s="6">
        <f t="shared" si="0"/>
        <v>5.7870042040882802E-3</v>
      </c>
      <c r="U5" s="6">
        <f t="shared" si="0"/>
        <v>2.9449691562400595E-3</v>
      </c>
    </row>
    <row r="6" spans="1:21">
      <c r="B6">
        <f>SUM(B5:U5)</f>
        <v>1</v>
      </c>
    </row>
    <row r="10" spans="1:21">
      <c r="B10">
        <v>1499956</v>
      </c>
      <c r="C10">
        <v>1499259</v>
      </c>
      <c r="D10">
        <v>1500077</v>
      </c>
      <c r="E10">
        <v>1500014</v>
      </c>
      <c r="F10">
        <v>250034</v>
      </c>
      <c r="G10">
        <v>1499154</v>
      </c>
      <c r="H10">
        <v>250341</v>
      </c>
      <c r="I10">
        <v>1501185</v>
      </c>
      <c r="J10">
        <v>249802</v>
      </c>
      <c r="K10">
        <v>250178</v>
      </c>
    </row>
    <row r="11" spans="1:21">
      <c r="B11">
        <f>SUM(B10:K10)</f>
        <v>10000000</v>
      </c>
    </row>
    <row r="13" spans="1:21">
      <c r="B13">
        <v>150105</v>
      </c>
      <c r="C13">
        <v>150051</v>
      </c>
      <c r="D13">
        <v>149754</v>
      </c>
      <c r="E13">
        <v>149759</v>
      </c>
      <c r="F13">
        <v>25020</v>
      </c>
      <c r="G13">
        <v>149895</v>
      </c>
      <c r="H13">
        <v>24854</v>
      </c>
      <c r="I13">
        <v>150174</v>
      </c>
      <c r="J13">
        <v>25117</v>
      </c>
      <c r="K13">
        <v>25271</v>
      </c>
    </row>
    <row r="14" spans="1:21">
      <c r="B14">
        <f>SUM(B13:K13)</f>
        <v>1000000</v>
      </c>
    </row>
    <row r="15" spans="1:21">
      <c r="B15">
        <f>B13/$B$14</f>
        <v>0.15010499999999999</v>
      </c>
      <c r="C15">
        <f t="shared" ref="C15:K15" si="1">C13/$B$14</f>
        <v>0.15005099999999999</v>
      </c>
      <c r="D15">
        <f t="shared" si="1"/>
        <v>0.149754</v>
      </c>
      <c r="E15">
        <f t="shared" si="1"/>
        <v>0.149759</v>
      </c>
      <c r="F15">
        <f t="shared" si="1"/>
        <v>2.5020000000000001E-2</v>
      </c>
      <c r="G15">
        <f t="shared" si="1"/>
        <v>0.149895</v>
      </c>
      <c r="H15">
        <f t="shared" si="1"/>
        <v>2.4854000000000001E-2</v>
      </c>
      <c r="I15">
        <f t="shared" si="1"/>
        <v>0.150174</v>
      </c>
      <c r="J15">
        <f t="shared" si="1"/>
        <v>2.5117E-2</v>
      </c>
      <c r="K15">
        <f t="shared" si="1"/>
        <v>2.5270999999999998E-2</v>
      </c>
    </row>
    <row r="17" spans="2:12">
      <c r="B17" s="2">
        <v>11000</v>
      </c>
      <c r="C17">
        <v>0.15010499999999999</v>
      </c>
      <c r="D17">
        <v>0.15005099999999999</v>
      </c>
      <c r="E17">
        <v>0.149754</v>
      </c>
      <c r="F17">
        <v>0.149759</v>
      </c>
      <c r="G17">
        <v>2.5020000000000001E-2</v>
      </c>
      <c r="H17">
        <v>0.149895</v>
      </c>
      <c r="I17">
        <v>2.4854000000000001E-2</v>
      </c>
      <c r="J17">
        <v>0.150174</v>
      </c>
      <c r="K17">
        <v>2.5117E-2</v>
      </c>
      <c r="L17">
        <v>2.5270999999999998E-2</v>
      </c>
    </row>
    <row r="18" spans="2:12">
      <c r="B18" s="2">
        <v>10100</v>
      </c>
    </row>
    <row r="19" spans="2:12">
      <c r="B19" s="2" t="s">
        <v>1</v>
      </c>
    </row>
    <row r="20" spans="2:12">
      <c r="B20" s="2" t="s">
        <v>2</v>
      </c>
    </row>
    <row r="21" spans="2:12">
      <c r="B21" s="2" t="s">
        <v>3</v>
      </c>
    </row>
    <row r="22" spans="2:12">
      <c r="B22" s="2" t="s">
        <v>4</v>
      </c>
    </row>
    <row r="23" spans="2:12">
      <c r="B23" s="2" t="s">
        <v>0</v>
      </c>
    </row>
    <row r="24" spans="2:12">
      <c r="B24" s="2" t="s">
        <v>5</v>
      </c>
    </row>
    <row r="25" spans="2:12">
      <c r="B25" s="2" t="s">
        <v>6</v>
      </c>
    </row>
    <row r="26" spans="2:12">
      <c r="B26" s="2" t="s">
        <v>7</v>
      </c>
    </row>
    <row r="31" spans="2:12">
      <c r="B31">
        <v>9.0566037735848995E-2</v>
      </c>
      <c r="C31">
        <v>0.135849056603773</v>
      </c>
      <c r="D31">
        <v>0.22641509433962301</v>
      </c>
      <c r="E31">
        <v>0.12075471698113199</v>
      </c>
      <c r="F31">
        <v>3.3962264150943E-2</v>
      </c>
      <c r="G31">
        <v>0.17358490566037699</v>
      </c>
      <c r="H31">
        <v>5.6603773584906002E-2</v>
      </c>
      <c r="I31">
        <v>0.109433962264151</v>
      </c>
      <c r="J31">
        <v>3.0188679245282998E-2</v>
      </c>
      <c r="K31">
        <v>2.2641509433961999E-2</v>
      </c>
    </row>
    <row r="32" spans="2:12">
      <c r="B32">
        <v>9.0566037735848995E-2</v>
      </c>
      <c r="C32">
        <v>0.135849056603773</v>
      </c>
      <c r="D32">
        <v>0.22641509433962301</v>
      </c>
      <c r="E32">
        <v>0.12075471698113199</v>
      </c>
      <c r="F32">
        <v>3.3962264150943E-2</v>
      </c>
      <c r="G32">
        <v>0.17358490566037699</v>
      </c>
      <c r="H32">
        <v>5.6603773584906002E-2</v>
      </c>
      <c r="I32">
        <v>0.109433962264151</v>
      </c>
      <c r="J32">
        <v>3.0188679245282998E-2</v>
      </c>
      <c r="K32">
        <v>2.2641509433961999E-2</v>
      </c>
    </row>
    <row r="33" spans="2:11">
      <c r="B33">
        <f>B31-B32</f>
        <v>0</v>
      </c>
      <c r="C33">
        <f t="shared" ref="C33:K33" si="2">C31-C32</f>
        <v>0</v>
      </c>
      <c r="D33">
        <f t="shared" si="2"/>
        <v>0</v>
      </c>
      <c r="E33">
        <f t="shared" si="2"/>
        <v>0</v>
      </c>
      <c r="F33">
        <f t="shared" si="2"/>
        <v>0</v>
      </c>
      <c r="G33">
        <f t="shared" si="2"/>
        <v>0</v>
      </c>
      <c r="H33">
        <f t="shared" si="2"/>
        <v>0</v>
      </c>
      <c r="I33">
        <f t="shared" si="2"/>
        <v>0</v>
      </c>
      <c r="J33">
        <f t="shared" si="2"/>
        <v>0</v>
      </c>
      <c r="K33">
        <f t="shared" si="2"/>
        <v>0</v>
      </c>
    </row>
    <row r="35" spans="2:11">
      <c r="B35">
        <v>9.1910000000000006E-2</v>
      </c>
      <c r="C35">
        <v>0.13763</v>
      </c>
      <c r="D35">
        <v>0.22589999999999999</v>
      </c>
      <c r="E35">
        <v>0.11953999999999999</v>
      </c>
      <c r="F35">
        <v>3.4169999999999999E-2</v>
      </c>
      <c r="G35">
        <v>0.17316000000000001</v>
      </c>
      <c r="H35">
        <v>5.6219999999999999E-2</v>
      </c>
      <c r="I35">
        <v>0.1086</v>
      </c>
      <c r="J35">
        <v>2.9669999999999998E-2</v>
      </c>
      <c r="K35">
        <v>2.3199999999999998E-2</v>
      </c>
    </row>
    <row r="36" spans="2:11">
      <c r="B36">
        <v>9.1920000000000002E-2</v>
      </c>
      <c r="C36">
        <v>0.13763</v>
      </c>
      <c r="D36">
        <v>0.22588</v>
      </c>
      <c r="E36">
        <v>0.11953</v>
      </c>
      <c r="F36">
        <v>3.4180000000000002E-2</v>
      </c>
      <c r="G36">
        <v>0.17315</v>
      </c>
      <c r="H36">
        <v>5.6230000000000002E-2</v>
      </c>
      <c r="I36">
        <v>0.1086</v>
      </c>
      <c r="J36">
        <v>2.9669999999999998E-2</v>
      </c>
      <c r="K36">
        <v>2.3210000000000001E-2</v>
      </c>
    </row>
    <row r="37" spans="2:11">
      <c r="B37">
        <f>B36-B35</f>
        <v>9.9999999999961231E-6</v>
      </c>
      <c r="C37">
        <f t="shared" ref="C37:K37" si="3">C36-C35</f>
        <v>0</v>
      </c>
      <c r="D37">
        <f t="shared" si="3"/>
        <v>-1.9999999999992246E-5</v>
      </c>
      <c r="E37">
        <f t="shared" si="3"/>
        <v>-9.9999999999961231E-6</v>
      </c>
      <c r="F37">
        <f t="shared" si="3"/>
        <v>1.0000000000003062E-5</v>
      </c>
      <c r="G37">
        <f t="shared" si="3"/>
        <v>-1.0000000000010001E-5</v>
      </c>
      <c r="H37">
        <f t="shared" si="3"/>
        <v>1.0000000000003062E-5</v>
      </c>
      <c r="I37">
        <f t="shared" si="3"/>
        <v>0</v>
      </c>
      <c r="J37">
        <f t="shared" si="3"/>
        <v>0</v>
      </c>
      <c r="K37">
        <f t="shared" si="3"/>
        <v>1.0000000000003062E-5</v>
      </c>
    </row>
    <row r="51" spans="3:12"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3:12">
      <c r="C52">
        <v>0.246153846153846</v>
      </c>
      <c r="D52">
        <v>0.18461538461538499</v>
      </c>
      <c r="E52">
        <v>0.123076923076923</v>
      </c>
      <c r="F52">
        <v>6.1538461538462E-2</v>
      </c>
      <c r="G52">
        <v>0.138461538461538</v>
      </c>
      <c r="H52">
        <v>4.6153846153845997E-2</v>
      </c>
      <c r="I52">
        <v>9.2307692307691994E-2</v>
      </c>
      <c r="J52">
        <v>3.0769230769231E-2</v>
      </c>
      <c r="K52">
        <v>6.1538461538462E-2</v>
      </c>
      <c r="L52">
        <v>1.5384615384615E-2</v>
      </c>
    </row>
    <row r="53" spans="3:12">
      <c r="C53">
        <f t="shared" ref="C53:L53" si="4">C52-C51</f>
        <v>0.246153846153846</v>
      </c>
      <c r="D53">
        <f t="shared" si="4"/>
        <v>0.18461538461538499</v>
      </c>
      <c r="E53">
        <f t="shared" si="4"/>
        <v>-0.87692307692307703</v>
      </c>
      <c r="F53">
        <f t="shared" si="4"/>
        <v>6.1538461538462E-2</v>
      </c>
      <c r="G53">
        <f t="shared" si="4"/>
        <v>0.138461538461538</v>
      </c>
      <c r="H53">
        <f t="shared" si="4"/>
        <v>4.6153846153845997E-2</v>
      </c>
      <c r="I53">
        <f t="shared" si="4"/>
        <v>9.2307692307691994E-2</v>
      </c>
      <c r="J53">
        <f t="shared" si="4"/>
        <v>3.0769230769231E-2</v>
      </c>
      <c r="K53">
        <f t="shared" si="4"/>
        <v>6.1538461538462E-2</v>
      </c>
      <c r="L53">
        <f t="shared" si="4"/>
        <v>1.5384615384615E-2</v>
      </c>
    </row>
    <row r="54" spans="3:12">
      <c r="C54">
        <f t="shared" ref="C54:L54" si="5">C53^2</f>
        <v>6.0591715976331284E-2</v>
      </c>
      <c r="D54">
        <f t="shared" si="5"/>
        <v>3.4082840236686528E-2</v>
      </c>
      <c r="E54">
        <f t="shared" si="5"/>
        <v>0.76899408284023685</v>
      </c>
      <c r="F54">
        <f t="shared" si="5"/>
        <v>3.7869822485207668E-3</v>
      </c>
      <c r="G54">
        <f t="shared" si="5"/>
        <v>1.9171597633135966E-2</v>
      </c>
      <c r="H54">
        <f t="shared" si="5"/>
        <v>2.130177514792885E-3</v>
      </c>
      <c r="I54">
        <f t="shared" si="5"/>
        <v>8.52071005917154E-3</v>
      </c>
      <c r="J54">
        <f t="shared" si="5"/>
        <v>9.4674556213019171E-4</v>
      </c>
      <c r="K54">
        <f t="shared" si="5"/>
        <v>3.7869822485207668E-3</v>
      </c>
      <c r="L54">
        <f t="shared" si="5"/>
        <v>2.3668639053253256E-4</v>
      </c>
    </row>
    <row r="55" spans="3:12">
      <c r="C55">
        <f>SUM(C54:L54)</f>
        <v>0.90224852071005923</v>
      </c>
    </row>
    <row r="56" spans="3:12">
      <c r="C56">
        <f>SQRT(C55)</f>
        <v>0.94986763325742352</v>
      </c>
    </row>
    <row r="59" spans="3:12" ht="17">
      <c r="D59" s="12"/>
      <c r="E59">
        <v>2</v>
      </c>
      <c r="F59">
        <v>3</v>
      </c>
      <c r="G59">
        <v>4</v>
      </c>
      <c r="H59">
        <v>5</v>
      </c>
    </row>
    <row r="60" spans="3:12">
      <c r="E60">
        <f>EXP(-E59/(1*1))</f>
        <v>0.1353352832366127</v>
      </c>
      <c r="F60">
        <f>EXP(-F59/(1*1))</f>
        <v>4.9787068367863944E-2</v>
      </c>
      <c r="G60">
        <f>EXP(-G59/(1*1))</f>
        <v>1.8315638888734179E-2</v>
      </c>
      <c r="H60">
        <f>EXP(-H59/(1*1))</f>
        <v>6.737946999085467E-3</v>
      </c>
      <c r="J60">
        <f>SUM(E60:H60)</f>
        <v>0.21017593749229629</v>
      </c>
    </row>
    <row r="61" spans="3:12">
      <c r="E61">
        <f>E60/$J$60</f>
        <v>0.64391425988797235</v>
      </c>
      <c r="F61">
        <f>F60/$J$60</f>
        <v>0.23688281808991013</v>
      </c>
      <c r="G61">
        <f>G60/$J$60</f>
        <v>8.7144318742032559E-2</v>
      </c>
      <c r="H61">
        <f>H60/$J$60</f>
        <v>3.2058603280084988E-2</v>
      </c>
      <c r="J61">
        <f>SUM(E61:H61)</f>
        <v>1</v>
      </c>
    </row>
    <row r="64" spans="3:12">
      <c r="C64">
        <v>3.2058603280085002E-2</v>
      </c>
      <c r="D64">
        <v>8.7144318742033003E-2</v>
      </c>
      <c r="E64">
        <v>0.23688281808990999</v>
      </c>
      <c r="F64">
        <v>0.64391425988797202</v>
      </c>
      <c r="H64">
        <f>SUM(C64:F64)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78C7-8FC5-9948-8879-255C1F1A4A64}">
  <dimension ref="A1:L25"/>
  <sheetViews>
    <sheetView topLeftCell="A8" zoomScale="144" workbookViewId="0">
      <selection activeCell="B15" sqref="B15:L25"/>
    </sheetView>
  </sheetViews>
  <sheetFormatPr baseColWidth="10" defaultRowHeight="16"/>
  <cols>
    <col min="1" max="16384" width="10.83203125" style="10"/>
  </cols>
  <sheetData>
    <row r="1" spans="1:12">
      <c r="A1" s="11"/>
      <c r="B1" s="11"/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  <c r="L1" s="11">
        <v>10</v>
      </c>
    </row>
    <row r="2" spans="1:12">
      <c r="A2" s="4"/>
      <c r="B2" s="5" t="s">
        <v>52</v>
      </c>
      <c r="C2" s="5" t="s">
        <v>45</v>
      </c>
      <c r="D2" s="5" t="s">
        <v>46</v>
      </c>
      <c r="E2" s="5" t="s">
        <v>1</v>
      </c>
      <c r="F2" s="5" t="s">
        <v>7</v>
      </c>
      <c r="G2" s="5" t="s">
        <v>2</v>
      </c>
      <c r="H2" s="5" t="s">
        <v>3</v>
      </c>
      <c r="I2" s="5" t="s">
        <v>4</v>
      </c>
      <c r="J2" s="5" t="s">
        <v>0</v>
      </c>
      <c r="K2" s="5" t="s">
        <v>5</v>
      </c>
      <c r="L2" s="5" t="s">
        <v>6</v>
      </c>
    </row>
    <row r="3" spans="1:12">
      <c r="A3" s="4">
        <v>1</v>
      </c>
      <c r="B3" s="5" t="s">
        <v>45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51</v>
      </c>
      <c r="H3" s="4" t="s">
        <v>51</v>
      </c>
      <c r="I3" s="4" t="s">
        <v>51</v>
      </c>
      <c r="J3" s="4" t="s">
        <v>51</v>
      </c>
      <c r="K3" s="4" t="s">
        <v>51</v>
      </c>
      <c r="L3" s="4" t="s">
        <v>51</v>
      </c>
    </row>
    <row r="4" spans="1:12">
      <c r="A4" s="4">
        <v>2</v>
      </c>
      <c r="B4" s="5" t="s">
        <v>46</v>
      </c>
      <c r="C4" s="4" t="s">
        <v>11</v>
      </c>
      <c r="D4" s="4" t="s">
        <v>51</v>
      </c>
      <c r="E4" s="4" t="s">
        <v>51</v>
      </c>
      <c r="F4" s="4" t="s">
        <v>51</v>
      </c>
      <c r="G4" s="4" t="s">
        <v>38</v>
      </c>
      <c r="H4" s="4" t="s">
        <v>40</v>
      </c>
      <c r="I4" s="4" t="s">
        <v>39</v>
      </c>
      <c r="J4" s="4" t="s">
        <v>51</v>
      </c>
      <c r="K4" s="4" t="s">
        <v>51</v>
      </c>
      <c r="L4" s="4" t="s">
        <v>51</v>
      </c>
    </row>
    <row r="5" spans="1:12">
      <c r="A5" s="4">
        <v>3</v>
      </c>
      <c r="B5" s="5" t="s">
        <v>1</v>
      </c>
      <c r="C5" s="11">
        <v>-1</v>
      </c>
      <c r="D5" s="4" t="s">
        <v>11</v>
      </c>
      <c r="E5" s="11">
        <v>-1</v>
      </c>
      <c r="F5" s="11">
        <v>-1</v>
      </c>
      <c r="G5" s="4" t="s">
        <v>37</v>
      </c>
      <c r="H5" s="11">
        <v>-1</v>
      </c>
      <c r="I5" s="11">
        <v>-1</v>
      </c>
      <c r="J5" s="4" t="s">
        <v>40</v>
      </c>
      <c r="K5" s="4" t="s">
        <v>39</v>
      </c>
      <c r="L5" s="11">
        <v>-1</v>
      </c>
    </row>
    <row r="6" spans="1:12">
      <c r="A6" s="4">
        <v>4</v>
      </c>
      <c r="B6" s="5" t="s">
        <v>7</v>
      </c>
      <c r="C6" s="11">
        <v>-1</v>
      </c>
      <c r="D6" s="11">
        <v>-1</v>
      </c>
      <c r="E6" s="4" t="s">
        <v>11</v>
      </c>
      <c r="F6" s="11">
        <v>-1</v>
      </c>
      <c r="G6" s="11">
        <v>-1</v>
      </c>
      <c r="H6" s="11">
        <v>-1</v>
      </c>
      <c r="I6" s="4" t="s">
        <v>37</v>
      </c>
      <c r="J6" s="11">
        <v>-1</v>
      </c>
      <c r="K6" s="4" t="s">
        <v>38</v>
      </c>
      <c r="L6" s="11">
        <v>5</v>
      </c>
    </row>
    <row r="7" spans="1:12">
      <c r="A7" s="4">
        <v>5</v>
      </c>
      <c r="B7" s="5" t="s">
        <v>2</v>
      </c>
      <c r="C7" s="4" t="s">
        <v>9</v>
      </c>
      <c r="D7" s="4" t="s">
        <v>51</v>
      </c>
      <c r="E7" s="4" t="s">
        <v>51</v>
      </c>
      <c r="F7" s="4" t="s">
        <v>51</v>
      </c>
      <c r="G7" s="4" t="s">
        <v>51</v>
      </c>
      <c r="H7" s="4" t="s">
        <v>51</v>
      </c>
      <c r="I7" s="4" t="s">
        <v>51</v>
      </c>
      <c r="J7" s="4" t="s">
        <v>51</v>
      </c>
      <c r="K7" s="4" t="s">
        <v>51</v>
      </c>
      <c r="L7" s="4" t="s">
        <v>51</v>
      </c>
    </row>
    <row r="8" spans="1:12">
      <c r="A8" s="4">
        <v>6</v>
      </c>
      <c r="B8" s="5" t="s">
        <v>3</v>
      </c>
      <c r="C8" s="4" t="s">
        <v>51</v>
      </c>
      <c r="D8" s="4" t="s">
        <v>51</v>
      </c>
      <c r="E8" s="4" t="s">
        <v>9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51</v>
      </c>
      <c r="K8" s="4" t="s">
        <v>51</v>
      </c>
      <c r="L8" s="4" t="s">
        <v>51</v>
      </c>
    </row>
    <row r="9" spans="1:12">
      <c r="A9" s="4" t="s">
        <v>48</v>
      </c>
      <c r="B9" s="5" t="s">
        <v>4</v>
      </c>
      <c r="C9" s="4" t="s">
        <v>51</v>
      </c>
      <c r="D9" s="4" t="s">
        <v>9</v>
      </c>
      <c r="E9" s="4" t="s">
        <v>51</v>
      </c>
      <c r="F9" s="4" t="s">
        <v>51</v>
      </c>
      <c r="G9" s="4" t="s">
        <v>51</v>
      </c>
      <c r="H9" s="4" t="s">
        <v>51</v>
      </c>
      <c r="I9" s="4" t="s">
        <v>51</v>
      </c>
      <c r="J9" s="4" t="s">
        <v>51</v>
      </c>
      <c r="K9" s="4" t="s">
        <v>51</v>
      </c>
      <c r="L9" s="4" t="s">
        <v>51</v>
      </c>
    </row>
    <row r="10" spans="1:12">
      <c r="A10" s="4" t="s">
        <v>49</v>
      </c>
      <c r="B10" s="5" t="s">
        <v>0</v>
      </c>
      <c r="C10" s="4" t="s">
        <v>51</v>
      </c>
      <c r="D10" s="4" t="s">
        <v>51</v>
      </c>
      <c r="E10" s="4" t="s">
        <v>51</v>
      </c>
      <c r="F10" s="4" t="s">
        <v>51</v>
      </c>
      <c r="G10" s="4" t="s">
        <v>51</v>
      </c>
      <c r="H10" s="4" t="s">
        <v>51</v>
      </c>
      <c r="I10" s="4" t="s">
        <v>9</v>
      </c>
      <c r="J10" s="4" t="s">
        <v>51</v>
      </c>
      <c r="K10" s="4" t="s">
        <v>51</v>
      </c>
      <c r="L10" s="4" t="s">
        <v>51</v>
      </c>
    </row>
    <row r="11" spans="1:12">
      <c r="A11" s="4" t="s">
        <v>50</v>
      </c>
      <c r="B11" s="5" t="s">
        <v>5</v>
      </c>
      <c r="C11" s="4" t="s">
        <v>51</v>
      </c>
      <c r="D11" s="4" t="s">
        <v>51</v>
      </c>
      <c r="E11" s="4" t="s">
        <v>51</v>
      </c>
      <c r="F11" s="4" t="s">
        <v>51</v>
      </c>
      <c r="G11" s="4" t="s">
        <v>9</v>
      </c>
      <c r="H11" s="4" t="s">
        <v>51</v>
      </c>
      <c r="I11" s="4" t="s">
        <v>51</v>
      </c>
      <c r="J11" s="4" t="s">
        <v>51</v>
      </c>
      <c r="K11" s="4" t="s">
        <v>51</v>
      </c>
      <c r="L11" s="4" t="s">
        <v>51</v>
      </c>
    </row>
    <row r="12" spans="1:12">
      <c r="A12" s="4" t="s">
        <v>47</v>
      </c>
      <c r="B12" s="5" t="s">
        <v>6</v>
      </c>
      <c r="C12" s="4" t="s">
        <v>51</v>
      </c>
      <c r="D12" s="4" t="s">
        <v>51</v>
      </c>
      <c r="E12" s="4" t="s">
        <v>51</v>
      </c>
      <c r="F12" s="4" t="s">
        <v>51</v>
      </c>
      <c r="G12" s="4" t="s">
        <v>51</v>
      </c>
      <c r="H12" s="4" t="s">
        <v>51</v>
      </c>
      <c r="I12" s="4" t="s">
        <v>51</v>
      </c>
      <c r="J12" s="4" t="s">
        <v>51</v>
      </c>
      <c r="K12" s="4" t="s">
        <v>9</v>
      </c>
      <c r="L12" s="11">
        <v>-1</v>
      </c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11"/>
    </row>
    <row r="14" spans="1:12">
      <c r="A14" s="11"/>
      <c r="B14" s="11"/>
      <c r="C14" s="11">
        <v>1</v>
      </c>
      <c r="D14" s="11">
        <v>2</v>
      </c>
      <c r="E14" s="11">
        <v>3</v>
      </c>
      <c r="F14" s="11">
        <v>4</v>
      </c>
      <c r="G14" s="11">
        <v>5</v>
      </c>
      <c r="H14" s="11">
        <v>6</v>
      </c>
      <c r="I14" s="11">
        <v>7</v>
      </c>
      <c r="J14" s="11">
        <v>8</v>
      </c>
      <c r="K14" s="11">
        <v>9</v>
      </c>
      <c r="L14" s="11">
        <v>10</v>
      </c>
    </row>
    <row r="15" spans="1:12">
      <c r="A15" s="4"/>
      <c r="B15" s="5" t="s">
        <v>52</v>
      </c>
      <c r="C15" s="5" t="s">
        <v>45</v>
      </c>
      <c r="D15" s="5" t="s">
        <v>46</v>
      </c>
      <c r="E15" s="5" t="s">
        <v>1</v>
      </c>
      <c r="F15" s="5" t="s">
        <v>7</v>
      </c>
      <c r="G15" s="5" t="s">
        <v>2</v>
      </c>
      <c r="H15" s="5" t="s">
        <v>3</v>
      </c>
      <c r="I15" s="5" t="s">
        <v>4</v>
      </c>
      <c r="J15" s="5" t="s">
        <v>0</v>
      </c>
      <c r="K15" s="5" t="s">
        <v>5</v>
      </c>
      <c r="L15" s="5" t="s">
        <v>6</v>
      </c>
    </row>
    <row r="16" spans="1:12">
      <c r="A16" s="4">
        <v>1</v>
      </c>
      <c r="B16" s="5" t="s">
        <v>45</v>
      </c>
      <c r="C16" s="11">
        <v>0.25</v>
      </c>
      <c r="D16" s="11">
        <v>0.25</v>
      </c>
      <c r="E16" s="11">
        <v>0.25</v>
      </c>
      <c r="F16" s="11">
        <v>0.25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</row>
    <row r="17" spans="1:12">
      <c r="A17" s="4">
        <v>2</v>
      </c>
      <c r="B17" s="5" t="s">
        <v>46</v>
      </c>
      <c r="C17" s="11">
        <v>0.25</v>
      </c>
      <c r="D17" s="11">
        <v>0</v>
      </c>
      <c r="E17" s="11">
        <v>0</v>
      </c>
      <c r="F17" s="11">
        <v>0</v>
      </c>
      <c r="G17" s="11">
        <v>0.25</v>
      </c>
      <c r="H17" s="11">
        <v>0.25</v>
      </c>
      <c r="I17" s="11">
        <v>0.25</v>
      </c>
      <c r="J17" s="11">
        <v>0</v>
      </c>
      <c r="K17" s="11">
        <v>0</v>
      </c>
      <c r="L17" s="11">
        <v>0</v>
      </c>
    </row>
    <row r="18" spans="1:12">
      <c r="A18" s="4">
        <v>3</v>
      </c>
      <c r="B18" s="5" t="s">
        <v>1</v>
      </c>
      <c r="C18" s="11">
        <v>0</v>
      </c>
      <c r="D18" s="11">
        <v>0.25</v>
      </c>
      <c r="E18" s="11">
        <v>0</v>
      </c>
      <c r="F18" s="11">
        <v>0</v>
      </c>
      <c r="G18" s="11">
        <v>0.25</v>
      </c>
      <c r="H18" s="11">
        <v>0</v>
      </c>
      <c r="I18" s="11">
        <v>0</v>
      </c>
      <c r="J18" s="11">
        <v>0.25</v>
      </c>
      <c r="K18" s="11">
        <v>0.25</v>
      </c>
      <c r="L18" s="11">
        <v>0</v>
      </c>
    </row>
    <row r="19" spans="1:12">
      <c r="A19" s="4">
        <v>4</v>
      </c>
      <c r="B19" s="5" t="s">
        <v>7</v>
      </c>
      <c r="C19" s="11">
        <v>0</v>
      </c>
      <c r="D19" s="11">
        <v>0</v>
      </c>
      <c r="E19" s="11">
        <v>0.25</v>
      </c>
      <c r="F19" s="11">
        <v>0</v>
      </c>
      <c r="G19" s="11">
        <v>0</v>
      </c>
      <c r="H19" s="11">
        <v>0</v>
      </c>
      <c r="I19" s="11">
        <v>0.25</v>
      </c>
      <c r="J19" s="11">
        <v>0</v>
      </c>
      <c r="K19" s="11">
        <v>0.25</v>
      </c>
      <c r="L19" s="11">
        <v>0.25</v>
      </c>
    </row>
    <row r="20" spans="1:12">
      <c r="A20" s="4">
        <v>5</v>
      </c>
      <c r="B20" s="5" t="s">
        <v>2</v>
      </c>
      <c r="C20" s="11">
        <v>1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</row>
    <row r="21" spans="1:12">
      <c r="A21" s="4">
        <v>6</v>
      </c>
      <c r="B21" s="5" t="s">
        <v>3</v>
      </c>
      <c r="C21" s="11">
        <v>0</v>
      </c>
      <c r="D21" s="11">
        <v>0</v>
      </c>
      <c r="E21" s="11">
        <v>1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>
      <c r="A22" s="4" t="s">
        <v>48</v>
      </c>
      <c r="B22" s="5" t="s">
        <v>4</v>
      </c>
      <c r="C22" s="11">
        <v>0</v>
      </c>
      <c r="D22" s="11">
        <v>1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</row>
    <row r="23" spans="1:12">
      <c r="A23" s="4" t="s">
        <v>49</v>
      </c>
      <c r="B23" s="5" t="s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1</v>
      </c>
      <c r="J23" s="11">
        <v>0</v>
      </c>
      <c r="K23" s="11">
        <v>0</v>
      </c>
      <c r="L23" s="11">
        <v>0</v>
      </c>
    </row>
    <row r="24" spans="1:12">
      <c r="A24" s="4" t="s">
        <v>50</v>
      </c>
      <c r="B24" s="5" t="s">
        <v>5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</row>
    <row r="25" spans="1:12">
      <c r="A25" s="4" t="s">
        <v>47</v>
      </c>
      <c r="B25" s="5" t="s">
        <v>6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1</v>
      </c>
      <c r="L25" s="11">
        <v>0</v>
      </c>
    </row>
  </sheetData>
  <pageMargins left="0.7" right="0.7" top="0.75" bottom="0.75" header="0.3" footer="0.3"/>
  <pageSetup paperSize="9" orientation="portrait" horizontalDpi="0" verticalDpi="0"/>
  <ignoredErrors>
    <ignoredError sqref="D2:L12 C2:C12 B3:B12 A9:A12 C15:L15 B16:B25 A22:A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28F2-6775-C04A-AEC2-9DC264432008}">
  <dimension ref="A1:I11"/>
  <sheetViews>
    <sheetView workbookViewId="0">
      <selection activeCell="B2" sqref="B2:D2"/>
    </sheetView>
  </sheetViews>
  <sheetFormatPr baseColWidth="10" defaultRowHeight="16"/>
  <sheetData>
    <row r="1" spans="1:9">
      <c r="A1" s="6" t="s">
        <v>52</v>
      </c>
      <c r="B1" s="2">
        <v>111</v>
      </c>
      <c r="C1" s="2" t="s">
        <v>56</v>
      </c>
      <c r="D1" s="2" t="s">
        <v>57</v>
      </c>
      <c r="E1" s="2" t="s">
        <v>58</v>
      </c>
      <c r="F1" s="2" t="s">
        <v>55</v>
      </c>
      <c r="G1" s="2" t="s">
        <v>59</v>
      </c>
      <c r="H1" s="2" t="s">
        <v>54</v>
      </c>
      <c r="I1" s="2" t="s">
        <v>60</v>
      </c>
    </row>
    <row r="2" spans="1:9">
      <c r="A2" s="2">
        <v>111</v>
      </c>
      <c r="B2" s="7">
        <v>0.5</v>
      </c>
      <c r="C2" s="7">
        <v>0.5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</row>
    <row r="3" spans="1:9">
      <c r="A3" s="2" t="s">
        <v>56</v>
      </c>
      <c r="B3" s="7">
        <v>0</v>
      </c>
      <c r="C3" s="7">
        <v>0.33333333333333331</v>
      </c>
      <c r="D3" s="7">
        <v>0.33333333333333331</v>
      </c>
      <c r="E3" s="7">
        <v>0</v>
      </c>
      <c r="F3" s="7">
        <v>0.33333333333333331</v>
      </c>
      <c r="G3" s="7">
        <v>0</v>
      </c>
      <c r="H3" s="7">
        <v>0</v>
      </c>
      <c r="I3" s="7">
        <v>0</v>
      </c>
    </row>
    <row r="4" spans="1:9">
      <c r="A4" s="2" t="s">
        <v>57</v>
      </c>
      <c r="B4" s="7">
        <v>0</v>
      </c>
      <c r="C4" s="7">
        <v>0.33333333333333331</v>
      </c>
      <c r="D4" s="7">
        <v>0</v>
      </c>
      <c r="E4" s="7">
        <v>0.33333333333333331</v>
      </c>
      <c r="F4" s="7">
        <v>0</v>
      </c>
      <c r="G4" s="7">
        <v>0.33333333333333331</v>
      </c>
      <c r="H4" s="7">
        <v>0</v>
      </c>
      <c r="I4" s="7">
        <v>0</v>
      </c>
    </row>
    <row r="5" spans="1:9">
      <c r="A5" s="2" t="s">
        <v>58</v>
      </c>
      <c r="B5" s="7">
        <v>0.5</v>
      </c>
      <c r="C5" s="7">
        <v>0.5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</row>
    <row r="6" spans="1:9">
      <c r="A6" s="2" t="s">
        <v>55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0.33333333333333331</v>
      </c>
      <c r="H6" s="7">
        <v>0.33333333333333331</v>
      </c>
      <c r="I6" s="7">
        <v>0.33333333333333331</v>
      </c>
    </row>
    <row r="7" spans="1:9">
      <c r="A7" s="2" t="s">
        <v>59</v>
      </c>
      <c r="B7" s="7">
        <v>0</v>
      </c>
      <c r="C7" s="7">
        <v>0.33333333333333331</v>
      </c>
      <c r="D7" s="7">
        <v>0.33333333333333331</v>
      </c>
      <c r="E7" s="7">
        <v>0</v>
      </c>
      <c r="F7" s="7">
        <v>0.33333333333333331</v>
      </c>
      <c r="G7" s="7">
        <v>0</v>
      </c>
      <c r="H7" s="7">
        <v>0</v>
      </c>
      <c r="I7" s="7">
        <v>0</v>
      </c>
    </row>
    <row r="8" spans="1:9">
      <c r="A8" s="2" t="s">
        <v>54</v>
      </c>
      <c r="B8" s="7">
        <v>0</v>
      </c>
      <c r="C8" s="7">
        <v>0</v>
      </c>
      <c r="D8" s="7">
        <v>0</v>
      </c>
      <c r="E8" s="7">
        <v>0</v>
      </c>
      <c r="F8" s="7">
        <v>0.25</v>
      </c>
      <c r="G8" s="7">
        <v>0.25</v>
      </c>
      <c r="H8" s="7">
        <v>0.25</v>
      </c>
      <c r="I8" s="7">
        <v>0.25</v>
      </c>
    </row>
    <row r="9" spans="1:9">
      <c r="A9" s="2" t="s">
        <v>60</v>
      </c>
      <c r="B9" s="7">
        <v>0</v>
      </c>
      <c r="C9" s="7">
        <v>0.33333333333333331</v>
      </c>
      <c r="D9" s="7">
        <v>0</v>
      </c>
      <c r="E9" s="7">
        <v>0.33333333333333331</v>
      </c>
      <c r="F9" s="7">
        <v>0</v>
      </c>
      <c r="G9" s="7">
        <v>0.33333333333333331</v>
      </c>
      <c r="H9" s="7">
        <v>0</v>
      </c>
      <c r="I9" s="7">
        <v>0</v>
      </c>
    </row>
    <row r="10" spans="1:9">
      <c r="A10" s="1"/>
    </row>
    <row r="11" spans="1:9">
      <c r="A11" s="1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AF6C-ABD6-7840-A11E-1CBC70B7FBA6}">
  <dimension ref="A1:XFD47"/>
  <sheetViews>
    <sheetView topLeftCell="A3" workbookViewId="0">
      <selection activeCell="C27" sqref="C27"/>
    </sheetView>
  </sheetViews>
  <sheetFormatPr baseColWidth="10" defaultColWidth="6" defaultRowHeight="16"/>
  <cols>
    <col min="1" max="1" width="8.1640625" style="1" bestFit="1" customWidth="1"/>
    <col min="2" max="2" width="8" style="7" customWidth="1"/>
    <col min="3" max="3" width="7.83203125" style="7" bestFit="1" customWidth="1"/>
    <col min="4" max="4" width="6" style="7" customWidth="1"/>
    <col min="5" max="9" width="6" style="7"/>
    <col min="10" max="10" width="7.33203125" style="7" customWidth="1"/>
    <col min="11" max="11" width="7.6640625" style="7" customWidth="1"/>
    <col min="12" max="12" width="8.33203125" style="7" customWidth="1"/>
    <col min="13" max="13" width="6" style="7"/>
    <col min="14" max="14" width="6.6640625" style="7" customWidth="1"/>
    <col min="15" max="16" width="8.5" style="7" customWidth="1"/>
    <col min="17" max="17" width="6.1640625" style="7" customWidth="1"/>
    <col min="18" max="18" width="7.6640625" style="7" customWidth="1"/>
    <col min="19" max="19" width="8" style="7" customWidth="1"/>
    <col min="20" max="20" width="8.5" style="7" customWidth="1"/>
    <col min="21" max="21" width="8" style="7" customWidth="1"/>
    <col min="22" max="22" width="7.5" style="7" customWidth="1"/>
    <col min="23" max="16384" width="6" style="7"/>
  </cols>
  <sheetData>
    <row r="1" spans="1:23 16384:16384" s="1" customFormat="1">
      <c r="A1" s="2" t="s">
        <v>74</v>
      </c>
      <c r="B1" s="2" t="s">
        <v>53</v>
      </c>
      <c r="C1" s="5" t="s">
        <v>54</v>
      </c>
      <c r="D1" s="5" t="s">
        <v>60</v>
      </c>
      <c r="E1" s="5" t="s">
        <v>55</v>
      </c>
      <c r="F1" s="5" t="s">
        <v>59</v>
      </c>
      <c r="G1" s="5" t="s">
        <v>57</v>
      </c>
      <c r="H1" s="5" t="s">
        <v>56</v>
      </c>
      <c r="I1" s="5" t="s">
        <v>58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73</v>
      </c>
      <c r="O1" s="5" t="s">
        <v>70</v>
      </c>
      <c r="P1" s="5" t="s">
        <v>72</v>
      </c>
      <c r="Q1" s="5" t="s">
        <v>65</v>
      </c>
      <c r="R1" s="5" t="s">
        <v>68</v>
      </c>
      <c r="S1" s="5" t="s">
        <v>67</v>
      </c>
      <c r="T1" s="5" t="s">
        <v>71</v>
      </c>
      <c r="U1" s="5" t="s">
        <v>69</v>
      </c>
      <c r="V1" s="5" t="s">
        <v>66</v>
      </c>
    </row>
    <row r="2" spans="1:23 16384:16384">
      <c r="A2" s="13">
        <v>1</v>
      </c>
      <c r="B2" s="5" t="s">
        <v>54</v>
      </c>
      <c r="C2" s="11">
        <v>0</v>
      </c>
      <c r="D2" s="11">
        <v>3</v>
      </c>
      <c r="E2" s="11">
        <v>1</v>
      </c>
      <c r="F2" s="11">
        <v>2</v>
      </c>
      <c r="G2" s="11" t="s">
        <v>105</v>
      </c>
      <c r="H2" s="11" t="s">
        <v>105</v>
      </c>
      <c r="I2" s="11" t="s">
        <v>105</v>
      </c>
      <c r="J2" s="11" t="s">
        <v>105</v>
      </c>
      <c r="K2" s="11" t="s">
        <v>105</v>
      </c>
      <c r="L2" s="11" t="s">
        <v>105</v>
      </c>
      <c r="M2" s="11" t="s">
        <v>105</v>
      </c>
      <c r="N2" s="11" t="s">
        <v>105</v>
      </c>
      <c r="O2" s="11" t="s">
        <v>105</v>
      </c>
      <c r="P2" s="11" t="s">
        <v>105</v>
      </c>
      <c r="Q2" s="11" t="s">
        <v>105</v>
      </c>
      <c r="R2" s="11" t="s">
        <v>105</v>
      </c>
      <c r="S2" s="11" t="s">
        <v>105</v>
      </c>
      <c r="T2" s="11" t="s">
        <v>105</v>
      </c>
      <c r="U2" s="11" t="s">
        <v>105</v>
      </c>
      <c r="V2" s="11" t="s">
        <v>105</v>
      </c>
      <c r="W2">
        <f>COUNTIF(C2:V2,"&lt;&gt;-")</f>
        <v>4</v>
      </c>
    </row>
    <row r="3" spans="1:23 16384:16384">
      <c r="A3" s="13">
        <v>2</v>
      </c>
      <c r="B3" s="5" t="s">
        <v>60</v>
      </c>
      <c r="C3" s="11" t="s">
        <v>105</v>
      </c>
      <c r="D3" s="11" t="s">
        <v>105</v>
      </c>
      <c r="E3" s="11" t="s">
        <v>105</v>
      </c>
      <c r="F3" s="11">
        <v>0</v>
      </c>
      <c r="G3" s="11" t="s">
        <v>105</v>
      </c>
      <c r="H3" s="11">
        <v>1</v>
      </c>
      <c r="I3" s="11">
        <v>3</v>
      </c>
      <c r="J3" s="11" t="s">
        <v>105</v>
      </c>
      <c r="K3" s="11" t="s">
        <v>105</v>
      </c>
      <c r="L3" s="11" t="s">
        <v>105</v>
      </c>
      <c r="M3" s="11">
        <v>2</v>
      </c>
      <c r="N3" s="11" t="s">
        <v>105</v>
      </c>
      <c r="O3" s="11" t="s">
        <v>105</v>
      </c>
      <c r="P3" s="11" t="s">
        <v>105</v>
      </c>
      <c r="Q3" s="11" t="s">
        <v>105</v>
      </c>
      <c r="R3" s="11" t="s">
        <v>105</v>
      </c>
      <c r="S3" s="11" t="s">
        <v>105</v>
      </c>
      <c r="T3" s="11" t="s">
        <v>105</v>
      </c>
      <c r="U3" s="11" t="s">
        <v>105</v>
      </c>
      <c r="V3" s="11" t="s">
        <v>105</v>
      </c>
      <c r="W3">
        <f t="shared" ref="W3:W21" si="0">COUNTIF(C3:V3,"&lt;&gt;-")</f>
        <v>4</v>
      </c>
    </row>
    <row r="4" spans="1:23 16384:16384">
      <c r="A4" s="13">
        <f>A3+1</f>
        <v>3</v>
      </c>
      <c r="B4" s="5" t="s">
        <v>55</v>
      </c>
      <c r="C4" s="11">
        <v>0</v>
      </c>
      <c r="D4" s="11">
        <v>3</v>
      </c>
      <c r="E4" s="11">
        <v>1</v>
      </c>
      <c r="F4" s="11">
        <v>2</v>
      </c>
      <c r="G4" s="11" t="s">
        <v>105</v>
      </c>
      <c r="H4" s="11" t="s">
        <v>105</v>
      </c>
      <c r="I4" s="11" t="s">
        <v>105</v>
      </c>
      <c r="J4" s="11" t="s">
        <v>105</v>
      </c>
      <c r="K4" s="11" t="s">
        <v>105</v>
      </c>
      <c r="L4" s="11" t="s">
        <v>105</v>
      </c>
      <c r="M4" s="11" t="s">
        <v>105</v>
      </c>
      <c r="N4" s="11" t="s">
        <v>105</v>
      </c>
      <c r="O4" s="11" t="s">
        <v>105</v>
      </c>
      <c r="P4" s="11" t="s">
        <v>105</v>
      </c>
      <c r="Q4" s="11" t="s">
        <v>105</v>
      </c>
      <c r="R4" s="11" t="s">
        <v>105</v>
      </c>
      <c r="S4" s="11" t="s">
        <v>105</v>
      </c>
      <c r="T4" s="11" t="s">
        <v>105</v>
      </c>
      <c r="U4" s="11" t="s">
        <v>105</v>
      </c>
      <c r="V4" s="11" t="s">
        <v>105</v>
      </c>
      <c r="W4">
        <f t="shared" si="0"/>
        <v>4</v>
      </c>
    </row>
    <row r="5" spans="1:23 16384:16384">
      <c r="A5" s="13">
        <f t="shared" ref="A5:A21" si="1">A4+1</f>
        <v>4</v>
      </c>
      <c r="B5" s="5" t="s">
        <v>59</v>
      </c>
      <c r="C5" s="11" t="s">
        <v>105</v>
      </c>
      <c r="D5" s="11" t="s">
        <v>105</v>
      </c>
      <c r="E5" s="11">
        <v>0</v>
      </c>
      <c r="F5" s="11" t="s">
        <v>105</v>
      </c>
      <c r="G5" s="11">
        <v>3</v>
      </c>
      <c r="H5" s="11">
        <v>2</v>
      </c>
      <c r="I5" s="11" t="s">
        <v>105</v>
      </c>
      <c r="J5" s="11" t="s">
        <v>105</v>
      </c>
      <c r="K5" s="11">
        <v>1</v>
      </c>
      <c r="L5" s="11" t="s">
        <v>105</v>
      </c>
      <c r="M5" s="11" t="s">
        <v>105</v>
      </c>
      <c r="N5" s="11" t="s">
        <v>105</v>
      </c>
      <c r="O5" s="11" t="s">
        <v>105</v>
      </c>
      <c r="P5" s="11" t="s">
        <v>105</v>
      </c>
      <c r="Q5" s="11" t="s">
        <v>105</v>
      </c>
      <c r="R5" s="11" t="s">
        <v>105</v>
      </c>
      <c r="S5" s="11" t="s">
        <v>105</v>
      </c>
      <c r="T5" s="11" t="s">
        <v>105</v>
      </c>
      <c r="U5" s="11" t="s">
        <v>105</v>
      </c>
      <c r="V5" s="11" t="s">
        <v>105</v>
      </c>
      <c r="W5">
        <f t="shared" si="0"/>
        <v>4</v>
      </c>
    </row>
    <row r="6" spans="1:23 16384:16384">
      <c r="A6" s="13">
        <f t="shared" si="1"/>
        <v>5</v>
      </c>
      <c r="B6" s="5" t="s">
        <v>57</v>
      </c>
      <c r="C6" s="11" t="s">
        <v>105</v>
      </c>
      <c r="D6" s="11" t="s">
        <v>105</v>
      </c>
      <c r="E6" s="11" t="s">
        <v>105</v>
      </c>
      <c r="F6" s="11">
        <v>0</v>
      </c>
      <c r="G6" s="11" t="s">
        <v>105</v>
      </c>
      <c r="H6" s="11">
        <v>1</v>
      </c>
      <c r="I6" s="11">
        <v>3</v>
      </c>
      <c r="J6" s="11" t="s">
        <v>105</v>
      </c>
      <c r="K6" s="11" t="s">
        <v>105</v>
      </c>
      <c r="L6" s="11" t="s">
        <v>105</v>
      </c>
      <c r="M6" s="11">
        <v>2</v>
      </c>
      <c r="N6" s="11" t="s">
        <v>105</v>
      </c>
      <c r="O6" s="11" t="s">
        <v>105</v>
      </c>
      <c r="P6" s="11" t="s">
        <v>105</v>
      </c>
      <c r="Q6" s="11" t="s">
        <v>105</v>
      </c>
      <c r="R6" s="11" t="s">
        <v>105</v>
      </c>
      <c r="S6" s="11" t="s">
        <v>105</v>
      </c>
      <c r="T6" s="11" t="s">
        <v>105</v>
      </c>
      <c r="U6" s="11" t="s">
        <v>105</v>
      </c>
      <c r="V6" s="11" t="s">
        <v>105</v>
      </c>
      <c r="W6">
        <f t="shared" si="0"/>
        <v>4</v>
      </c>
    </row>
    <row r="7" spans="1:23 16384:16384">
      <c r="A7" s="13">
        <f t="shared" si="1"/>
        <v>6</v>
      </c>
      <c r="B7" s="5" t="s">
        <v>56</v>
      </c>
      <c r="C7" s="11" t="s">
        <v>105</v>
      </c>
      <c r="D7" s="11" t="s">
        <v>105</v>
      </c>
      <c r="E7" s="11">
        <v>0</v>
      </c>
      <c r="F7" s="11" t="s">
        <v>105</v>
      </c>
      <c r="G7" s="11">
        <v>3</v>
      </c>
      <c r="H7" s="11">
        <v>2</v>
      </c>
      <c r="I7" s="11" t="s">
        <v>105</v>
      </c>
      <c r="J7" s="11" t="s">
        <v>105</v>
      </c>
      <c r="K7" s="11">
        <v>1</v>
      </c>
      <c r="L7" s="11" t="s">
        <v>105</v>
      </c>
      <c r="M7" s="11" t="s">
        <v>105</v>
      </c>
      <c r="N7" s="11" t="s">
        <v>105</v>
      </c>
      <c r="O7" s="11" t="s">
        <v>105</v>
      </c>
      <c r="P7" s="11" t="s">
        <v>105</v>
      </c>
      <c r="Q7" s="11" t="s">
        <v>105</v>
      </c>
      <c r="R7" s="11" t="s">
        <v>105</v>
      </c>
      <c r="S7" s="11" t="s">
        <v>105</v>
      </c>
      <c r="T7" s="11" t="s">
        <v>105</v>
      </c>
      <c r="U7" s="11" t="s">
        <v>105</v>
      </c>
      <c r="V7" s="11" t="s">
        <v>105</v>
      </c>
      <c r="W7">
        <f t="shared" si="0"/>
        <v>4</v>
      </c>
    </row>
    <row r="8" spans="1:23 16384:16384">
      <c r="A8" s="13">
        <f t="shared" si="1"/>
        <v>7</v>
      </c>
      <c r="B8" s="5" t="s">
        <v>58</v>
      </c>
      <c r="C8" s="11" t="s">
        <v>105</v>
      </c>
      <c r="D8" s="11" t="s">
        <v>105</v>
      </c>
      <c r="E8" s="11" t="s">
        <v>105</v>
      </c>
      <c r="F8" s="11" t="s">
        <v>105</v>
      </c>
      <c r="G8" s="11" t="s">
        <v>105</v>
      </c>
      <c r="H8" s="11">
        <v>0</v>
      </c>
      <c r="I8" s="11" t="s">
        <v>105</v>
      </c>
      <c r="J8" s="11">
        <v>3</v>
      </c>
      <c r="K8" s="11" t="s">
        <v>105</v>
      </c>
      <c r="L8" s="11" t="s">
        <v>105</v>
      </c>
      <c r="M8" s="11" t="s">
        <v>105</v>
      </c>
      <c r="N8" s="11" t="s">
        <v>105</v>
      </c>
      <c r="O8" s="11" t="s">
        <v>105</v>
      </c>
      <c r="P8" s="11" t="s">
        <v>105</v>
      </c>
      <c r="Q8" s="11">
        <v>2</v>
      </c>
      <c r="R8" s="11" t="s">
        <v>105</v>
      </c>
      <c r="S8" s="11" t="s">
        <v>105</v>
      </c>
      <c r="T8" s="11" t="s">
        <v>105</v>
      </c>
      <c r="U8" s="11" t="s">
        <v>105</v>
      </c>
      <c r="V8" s="11">
        <v>1</v>
      </c>
      <c r="W8">
        <f t="shared" si="0"/>
        <v>4</v>
      </c>
    </row>
    <row r="9" spans="1:23 16384:16384">
      <c r="A9" s="13">
        <v>8</v>
      </c>
      <c r="B9" s="5" t="s">
        <v>61</v>
      </c>
      <c r="C9" s="11" t="s">
        <v>105</v>
      </c>
      <c r="D9" s="11" t="s">
        <v>105</v>
      </c>
      <c r="E9" s="11" t="s">
        <v>105</v>
      </c>
      <c r="F9" s="11" t="s">
        <v>105</v>
      </c>
      <c r="G9" s="11" t="s">
        <v>105</v>
      </c>
      <c r="H9" s="11">
        <v>0</v>
      </c>
      <c r="I9" s="11" t="s">
        <v>105</v>
      </c>
      <c r="J9" s="11">
        <v>3</v>
      </c>
      <c r="K9" s="11" t="s">
        <v>105</v>
      </c>
      <c r="L9" s="11" t="s">
        <v>105</v>
      </c>
      <c r="M9" s="11" t="s">
        <v>105</v>
      </c>
      <c r="N9" s="11" t="s">
        <v>105</v>
      </c>
      <c r="O9" s="11" t="s">
        <v>105</v>
      </c>
      <c r="P9" s="11" t="s">
        <v>105</v>
      </c>
      <c r="Q9" s="11">
        <v>2</v>
      </c>
      <c r="R9" s="11" t="s">
        <v>105</v>
      </c>
      <c r="S9" s="11" t="s">
        <v>105</v>
      </c>
      <c r="T9" s="11" t="s">
        <v>105</v>
      </c>
      <c r="U9" s="11" t="s">
        <v>105</v>
      </c>
      <c r="V9" s="11">
        <v>1</v>
      </c>
      <c r="W9">
        <f t="shared" si="0"/>
        <v>4</v>
      </c>
    </row>
    <row r="10" spans="1:23 16384:16384">
      <c r="A10" s="13">
        <f>A9+1</f>
        <v>9</v>
      </c>
      <c r="B10" s="5" t="s">
        <v>62</v>
      </c>
      <c r="C10" s="11" t="s">
        <v>75</v>
      </c>
      <c r="D10" s="13" t="s">
        <v>81</v>
      </c>
      <c r="E10" s="11" t="s">
        <v>76</v>
      </c>
      <c r="F10" s="11" t="s">
        <v>80</v>
      </c>
      <c r="G10" s="11" t="s">
        <v>83</v>
      </c>
      <c r="H10" s="11" t="s">
        <v>82</v>
      </c>
      <c r="I10" s="11" t="s">
        <v>84</v>
      </c>
      <c r="J10" s="11" t="s">
        <v>105</v>
      </c>
      <c r="K10" s="11" t="s">
        <v>77</v>
      </c>
      <c r="L10" s="11" t="s">
        <v>79</v>
      </c>
      <c r="M10" s="11" t="s">
        <v>78</v>
      </c>
      <c r="N10" s="11" t="s">
        <v>105</v>
      </c>
      <c r="O10" s="11" t="s">
        <v>105</v>
      </c>
      <c r="P10" s="11" t="s">
        <v>105</v>
      </c>
      <c r="Q10" s="11" t="s">
        <v>105</v>
      </c>
      <c r="R10" s="11" t="s">
        <v>105</v>
      </c>
      <c r="S10" s="11" t="s">
        <v>105</v>
      </c>
      <c r="T10" s="11" t="s">
        <v>105</v>
      </c>
      <c r="U10" s="11" t="s">
        <v>105</v>
      </c>
      <c r="V10" s="11" t="s">
        <v>105</v>
      </c>
      <c r="W10">
        <f t="shared" si="0"/>
        <v>10</v>
      </c>
      <c r="XFD10" s="7">
        <f>SUM(A10:XFC10)</f>
        <v>19</v>
      </c>
    </row>
    <row r="11" spans="1:23 16384:16384">
      <c r="A11" s="13">
        <f t="shared" si="1"/>
        <v>10</v>
      </c>
      <c r="B11" s="5" t="s">
        <v>63</v>
      </c>
      <c r="C11" s="11" t="s">
        <v>105</v>
      </c>
      <c r="D11" s="11" t="s">
        <v>105</v>
      </c>
      <c r="E11" s="11" t="s">
        <v>105</v>
      </c>
      <c r="F11" s="11" t="s">
        <v>105</v>
      </c>
      <c r="G11" s="11" t="s">
        <v>105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11">
        <v>0</v>
      </c>
      <c r="N11" s="11" t="s">
        <v>105</v>
      </c>
      <c r="O11" s="11">
        <v>2</v>
      </c>
      <c r="P11" s="11" t="s">
        <v>105</v>
      </c>
      <c r="Q11" s="11">
        <v>1</v>
      </c>
      <c r="R11" s="11" t="s">
        <v>105</v>
      </c>
      <c r="S11" s="11" t="s">
        <v>105</v>
      </c>
      <c r="T11" s="11" t="s">
        <v>105</v>
      </c>
      <c r="U11" s="11">
        <v>3</v>
      </c>
      <c r="V11" s="11" t="s">
        <v>105</v>
      </c>
      <c r="W11">
        <f t="shared" si="0"/>
        <v>4</v>
      </c>
    </row>
    <row r="12" spans="1:23 16384:16384">
      <c r="A12" s="13">
        <f t="shared" si="1"/>
        <v>11</v>
      </c>
      <c r="B12" s="5" t="s">
        <v>64</v>
      </c>
      <c r="C12" s="11" t="s">
        <v>105</v>
      </c>
      <c r="D12" s="11" t="s">
        <v>105</v>
      </c>
      <c r="E12" s="11" t="s">
        <v>105</v>
      </c>
      <c r="F12" s="11" t="s">
        <v>105</v>
      </c>
      <c r="G12" s="11" t="s">
        <v>105</v>
      </c>
      <c r="H12" s="11" t="s">
        <v>105</v>
      </c>
      <c r="I12" s="11" t="s">
        <v>105</v>
      </c>
      <c r="J12" s="11" t="s">
        <v>105</v>
      </c>
      <c r="K12" s="11">
        <v>0</v>
      </c>
      <c r="L12" s="11" t="s">
        <v>105</v>
      </c>
      <c r="M12" s="11" t="s">
        <v>105</v>
      </c>
      <c r="N12" s="11">
        <v>1</v>
      </c>
      <c r="O12" s="11" t="s">
        <v>105</v>
      </c>
      <c r="P12" s="11" t="s">
        <v>105</v>
      </c>
      <c r="Q12" s="11" t="s">
        <v>105</v>
      </c>
      <c r="R12" s="11">
        <v>3</v>
      </c>
      <c r="S12" s="11" t="s">
        <v>105</v>
      </c>
      <c r="T12" s="11" t="s">
        <v>105</v>
      </c>
      <c r="U12" s="11" t="s">
        <v>105</v>
      </c>
      <c r="V12" s="11">
        <v>2</v>
      </c>
      <c r="W12">
        <f t="shared" si="0"/>
        <v>4</v>
      </c>
    </row>
    <row r="13" spans="1:23 16384:16384">
      <c r="A13" s="13">
        <f t="shared" si="1"/>
        <v>12</v>
      </c>
      <c r="B13" s="5" t="s">
        <v>73</v>
      </c>
      <c r="C13" s="11" t="s">
        <v>85</v>
      </c>
      <c r="D13" s="11" t="s">
        <v>90</v>
      </c>
      <c r="E13" s="11" t="s">
        <v>86</v>
      </c>
      <c r="F13" s="11" t="s">
        <v>89</v>
      </c>
      <c r="G13" s="11" t="s">
        <v>92</v>
      </c>
      <c r="H13" s="11" t="s">
        <v>91</v>
      </c>
      <c r="I13" s="11" t="s">
        <v>95</v>
      </c>
      <c r="J13" s="11" t="s">
        <v>94</v>
      </c>
      <c r="K13" s="11" t="s">
        <v>87</v>
      </c>
      <c r="L13" s="11" t="s">
        <v>96</v>
      </c>
      <c r="M13" s="11" t="s">
        <v>97</v>
      </c>
      <c r="N13" s="11" t="s">
        <v>88</v>
      </c>
      <c r="O13" s="11" t="s">
        <v>98</v>
      </c>
      <c r="P13" s="11" t="s">
        <v>99</v>
      </c>
      <c r="Q13" s="11" t="s">
        <v>93</v>
      </c>
      <c r="R13" s="11" t="s">
        <v>100</v>
      </c>
      <c r="S13" s="11" t="s">
        <v>101</v>
      </c>
      <c r="T13" s="11" t="s">
        <v>102</v>
      </c>
      <c r="U13" s="11" t="s">
        <v>103</v>
      </c>
      <c r="V13" s="11" t="s">
        <v>104</v>
      </c>
      <c r="W13">
        <f t="shared" si="0"/>
        <v>20</v>
      </c>
    </row>
    <row r="14" spans="1:23 16384:16384">
      <c r="A14" s="13">
        <f t="shared" si="1"/>
        <v>13</v>
      </c>
      <c r="B14" s="5" t="s">
        <v>70</v>
      </c>
      <c r="C14" s="11" t="s">
        <v>105</v>
      </c>
      <c r="D14" s="11" t="s">
        <v>105</v>
      </c>
      <c r="E14" s="11" t="s">
        <v>105</v>
      </c>
      <c r="F14" s="11" t="s">
        <v>105</v>
      </c>
      <c r="G14" s="11" t="s">
        <v>105</v>
      </c>
      <c r="H14" s="11" t="s">
        <v>105</v>
      </c>
      <c r="I14" s="11" t="s">
        <v>105</v>
      </c>
      <c r="J14" s="11" t="s">
        <v>105</v>
      </c>
      <c r="K14" s="11" t="s">
        <v>105</v>
      </c>
      <c r="L14" s="11" t="s">
        <v>105</v>
      </c>
      <c r="M14" s="11" t="s">
        <v>105</v>
      </c>
      <c r="N14" s="11">
        <v>0</v>
      </c>
      <c r="O14" s="11" t="s">
        <v>105</v>
      </c>
      <c r="P14" s="11" t="s">
        <v>105</v>
      </c>
      <c r="Q14" s="11" t="s">
        <v>105</v>
      </c>
      <c r="R14" s="11" t="s">
        <v>105</v>
      </c>
      <c r="S14" s="11" t="s">
        <v>105</v>
      </c>
      <c r="T14" s="11" t="s">
        <v>105</v>
      </c>
      <c r="U14" s="11" t="s">
        <v>105</v>
      </c>
      <c r="V14" s="11" t="s">
        <v>105</v>
      </c>
      <c r="W14">
        <f t="shared" si="0"/>
        <v>1</v>
      </c>
    </row>
    <row r="15" spans="1:23 16384:16384">
      <c r="A15" s="13">
        <f t="shared" si="1"/>
        <v>14</v>
      </c>
      <c r="B15" s="5" t="s">
        <v>72</v>
      </c>
      <c r="C15" s="11" t="s">
        <v>105</v>
      </c>
      <c r="D15" s="11" t="s">
        <v>105</v>
      </c>
      <c r="E15" s="11" t="s">
        <v>105</v>
      </c>
      <c r="F15" s="11" t="s">
        <v>105</v>
      </c>
      <c r="G15" s="11" t="s">
        <v>105</v>
      </c>
      <c r="H15" s="11" t="s">
        <v>105</v>
      </c>
      <c r="I15" s="11" t="s">
        <v>105</v>
      </c>
      <c r="J15" s="11" t="s">
        <v>105</v>
      </c>
      <c r="K15" s="11" t="s">
        <v>105</v>
      </c>
      <c r="L15" s="11" t="s">
        <v>105</v>
      </c>
      <c r="M15" s="11" t="s">
        <v>105</v>
      </c>
      <c r="N15" s="11" t="s">
        <v>105</v>
      </c>
      <c r="O15" s="11">
        <v>0</v>
      </c>
      <c r="P15" s="11" t="s">
        <v>105</v>
      </c>
      <c r="Q15" s="11" t="s">
        <v>105</v>
      </c>
      <c r="R15" s="11" t="s">
        <v>105</v>
      </c>
      <c r="S15" s="11" t="s">
        <v>105</v>
      </c>
      <c r="T15" s="11" t="s">
        <v>105</v>
      </c>
      <c r="U15" s="11" t="s">
        <v>105</v>
      </c>
      <c r="V15" s="11" t="s">
        <v>105</v>
      </c>
      <c r="W15">
        <f t="shared" si="0"/>
        <v>1</v>
      </c>
    </row>
    <row r="16" spans="1:23 16384:16384">
      <c r="A16" s="13">
        <f t="shared" si="1"/>
        <v>15</v>
      </c>
      <c r="B16" s="5" t="s">
        <v>65</v>
      </c>
      <c r="C16" s="11" t="s">
        <v>105</v>
      </c>
      <c r="D16" s="11" t="s">
        <v>105</v>
      </c>
      <c r="E16" s="11" t="s">
        <v>105</v>
      </c>
      <c r="F16" s="11" t="s">
        <v>105</v>
      </c>
      <c r="G16" s="11" t="s">
        <v>105</v>
      </c>
      <c r="H16" s="11" t="s">
        <v>105</v>
      </c>
      <c r="I16" s="11" t="s">
        <v>105</v>
      </c>
      <c r="J16" s="11" t="s">
        <v>105</v>
      </c>
      <c r="K16" s="11">
        <v>0</v>
      </c>
      <c r="L16" s="11" t="s">
        <v>105</v>
      </c>
      <c r="M16" s="11" t="s">
        <v>105</v>
      </c>
      <c r="N16" s="11">
        <v>1</v>
      </c>
      <c r="O16" s="11" t="s">
        <v>105</v>
      </c>
      <c r="P16" s="11" t="s">
        <v>105</v>
      </c>
      <c r="Q16" s="11" t="s">
        <v>105</v>
      </c>
      <c r="R16" s="11">
        <v>3</v>
      </c>
      <c r="S16" s="11" t="s">
        <v>105</v>
      </c>
      <c r="T16" s="11" t="s">
        <v>105</v>
      </c>
      <c r="U16" s="11" t="s">
        <v>105</v>
      </c>
      <c r="V16" s="11">
        <v>2</v>
      </c>
      <c r="W16">
        <f t="shared" si="0"/>
        <v>4</v>
      </c>
    </row>
    <row r="17" spans="1:23">
      <c r="A17" s="13">
        <f t="shared" si="1"/>
        <v>16</v>
      </c>
      <c r="B17" s="5" t="s">
        <v>68</v>
      </c>
      <c r="C17" s="11" t="s">
        <v>105</v>
      </c>
      <c r="D17" s="11" t="s">
        <v>105</v>
      </c>
      <c r="E17" s="11" t="s">
        <v>105</v>
      </c>
      <c r="F17" s="11" t="s">
        <v>75</v>
      </c>
      <c r="G17" s="11" t="s">
        <v>105</v>
      </c>
      <c r="H17" s="11" t="s">
        <v>76</v>
      </c>
      <c r="I17" s="11" t="s">
        <v>81</v>
      </c>
      <c r="J17" s="11" t="s">
        <v>83</v>
      </c>
      <c r="K17" s="11" t="s">
        <v>105</v>
      </c>
      <c r="L17" s="11" t="s">
        <v>105</v>
      </c>
      <c r="M17" s="11" t="s">
        <v>80</v>
      </c>
      <c r="N17" s="11" t="s">
        <v>105</v>
      </c>
      <c r="O17" s="11" t="s">
        <v>78</v>
      </c>
      <c r="P17" s="11" t="s">
        <v>105</v>
      </c>
      <c r="Q17" s="11" t="s">
        <v>82</v>
      </c>
      <c r="R17" s="11" t="s">
        <v>105</v>
      </c>
      <c r="S17" s="11" t="s">
        <v>105</v>
      </c>
      <c r="T17" s="11" t="s">
        <v>79</v>
      </c>
      <c r="U17" s="11" t="s">
        <v>84</v>
      </c>
      <c r="V17" s="11" t="s">
        <v>105</v>
      </c>
      <c r="W17">
        <f t="shared" si="0"/>
        <v>9</v>
      </c>
    </row>
    <row r="18" spans="1:23">
      <c r="A18" s="13">
        <f t="shared" si="1"/>
        <v>17</v>
      </c>
      <c r="B18" s="5" t="s">
        <v>67</v>
      </c>
      <c r="C18" s="11" t="s">
        <v>105</v>
      </c>
      <c r="D18" s="11" t="s">
        <v>105</v>
      </c>
      <c r="E18" s="11" t="s">
        <v>105</v>
      </c>
      <c r="F18" s="11" t="s">
        <v>105</v>
      </c>
      <c r="G18" s="11" t="s">
        <v>105</v>
      </c>
      <c r="H18" s="11" t="s">
        <v>105</v>
      </c>
      <c r="I18" s="11" t="s">
        <v>105</v>
      </c>
      <c r="J18" s="11" t="s">
        <v>105</v>
      </c>
      <c r="K18" s="11" t="s">
        <v>105</v>
      </c>
      <c r="L18" s="11" t="s">
        <v>105</v>
      </c>
      <c r="M18" s="11">
        <v>0</v>
      </c>
      <c r="N18" s="11" t="s">
        <v>105</v>
      </c>
      <c r="O18" s="11">
        <v>2</v>
      </c>
      <c r="P18" s="11" t="s">
        <v>105</v>
      </c>
      <c r="Q18" s="11">
        <v>1</v>
      </c>
      <c r="R18" s="11" t="s">
        <v>105</v>
      </c>
      <c r="S18" s="11" t="s">
        <v>105</v>
      </c>
      <c r="T18" s="11" t="s">
        <v>105</v>
      </c>
      <c r="U18" s="11">
        <v>3</v>
      </c>
      <c r="V18" s="11" t="s">
        <v>105</v>
      </c>
      <c r="W18">
        <f t="shared" si="0"/>
        <v>4</v>
      </c>
    </row>
    <row r="19" spans="1:23">
      <c r="A19" s="13">
        <f t="shared" si="1"/>
        <v>18</v>
      </c>
      <c r="B19" s="5" t="s">
        <v>71</v>
      </c>
      <c r="C19" s="11" t="s">
        <v>105</v>
      </c>
      <c r="D19" s="11" t="s">
        <v>105</v>
      </c>
      <c r="E19" s="11" t="s">
        <v>105</v>
      </c>
      <c r="F19" s="11" t="s">
        <v>105</v>
      </c>
      <c r="G19" s="11" t="s">
        <v>105</v>
      </c>
      <c r="H19" s="11" t="s">
        <v>105</v>
      </c>
      <c r="I19" s="11" t="s">
        <v>105</v>
      </c>
      <c r="J19" s="11" t="s">
        <v>105</v>
      </c>
      <c r="K19" s="11" t="s">
        <v>105</v>
      </c>
      <c r="L19" s="11" t="s">
        <v>105</v>
      </c>
      <c r="M19" s="11" t="s">
        <v>105</v>
      </c>
      <c r="N19" s="11" t="s">
        <v>105</v>
      </c>
      <c r="O19" s="11" t="s">
        <v>105</v>
      </c>
      <c r="P19" s="11" t="s">
        <v>105</v>
      </c>
      <c r="Q19" s="11">
        <v>0</v>
      </c>
      <c r="R19" s="11" t="s">
        <v>105</v>
      </c>
      <c r="S19" s="11" t="s">
        <v>105</v>
      </c>
      <c r="T19" s="11" t="s">
        <v>105</v>
      </c>
      <c r="U19" s="11" t="s">
        <v>105</v>
      </c>
      <c r="V19" s="11" t="s">
        <v>105</v>
      </c>
      <c r="W19">
        <f t="shared" si="0"/>
        <v>1</v>
      </c>
    </row>
    <row r="20" spans="1:23">
      <c r="A20" s="13">
        <f t="shared" si="1"/>
        <v>19</v>
      </c>
      <c r="B20" s="5" t="s">
        <v>69</v>
      </c>
      <c r="C20" s="11" t="s">
        <v>105</v>
      </c>
      <c r="D20" s="11" t="s">
        <v>105</v>
      </c>
      <c r="E20" s="11" t="s">
        <v>105</v>
      </c>
      <c r="F20" s="11" t="s">
        <v>105</v>
      </c>
      <c r="G20" s="11" t="s">
        <v>105</v>
      </c>
      <c r="H20" s="11" t="s">
        <v>105</v>
      </c>
      <c r="I20" s="11" t="s">
        <v>105</v>
      </c>
      <c r="J20" s="11" t="s">
        <v>105</v>
      </c>
      <c r="K20" s="11" t="s">
        <v>105</v>
      </c>
      <c r="L20" s="11" t="s">
        <v>105</v>
      </c>
      <c r="M20" s="11" t="s">
        <v>105</v>
      </c>
      <c r="N20" s="11" t="s">
        <v>105</v>
      </c>
      <c r="O20" s="11" t="s">
        <v>105</v>
      </c>
      <c r="P20" s="11" t="s">
        <v>105</v>
      </c>
      <c r="Q20" s="11" t="s">
        <v>105</v>
      </c>
      <c r="R20" s="11" t="s">
        <v>105</v>
      </c>
      <c r="S20" s="11" t="s">
        <v>105</v>
      </c>
      <c r="T20" s="11" t="s">
        <v>105</v>
      </c>
      <c r="U20" s="11" t="s">
        <v>105</v>
      </c>
      <c r="V20" s="11">
        <v>0</v>
      </c>
      <c r="W20">
        <f t="shared" si="0"/>
        <v>1</v>
      </c>
    </row>
    <row r="21" spans="1:23">
      <c r="A21" s="13">
        <f t="shared" si="1"/>
        <v>20</v>
      </c>
      <c r="B21" s="5" t="s">
        <v>66</v>
      </c>
      <c r="C21" s="11" t="s">
        <v>105</v>
      </c>
      <c r="D21" s="11" t="s">
        <v>105</v>
      </c>
      <c r="E21" s="11" t="s">
        <v>75</v>
      </c>
      <c r="F21" s="11" t="s">
        <v>105</v>
      </c>
      <c r="G21" s="11" t="s">
        <v>81</v>
      </c>
      <c r="H21" s="11" t="s">
        <v>80</v>
      </c>
      <c r="I21" s="11" t="s">
        <v>105</v>
      </c>
      <c r="J21" s="11" t="s">
        <v>84</v>
      </c>
      <c r="K21" s="11" t="s">
        <v>76</v>
      </c>
      <c r="L21" s="11" t="s">
        <v>105</v>
      </c>
      <c r="M21" s="11" t="s">
        <v>105</v>
      </c>
      <c r="N21" s="11" t="s">
        <v>77</v>
      </c>
      <c r="O21" s="11" t="s">
        <v>105</v>
      </c>
      <c r="P21" s="11" t="s">
        <v>105</v>
      </c>
      <c r="Q21" s="11" t="s">
        <v>78</v>
      </c>
      <c r="R21" s="11" t="s">
        <v>83</v>
      </c>
      <c r="S21" s="11" t="s">
        <v>79</v>
      </c>
      <c r="T21" s="11" t="s">
        <v>105</v>
      </c>
      <c r="U21" s="11" t="s">
        <v>105</v>
      </c>
      <c r="V21" s="11" t="s">
        <v>82</v>
      </c>
      <c r="W21">
        <f t="shared" si="0"/>
        <v>10</v>
      </c>
    </row>
    <row r="22" spans="1:23">
      <c r="A22"/>
    </row>
    <row r="26" spans="1:23">
      <c r="A26" s="16" t="s">
        <v>74</v>
      </c>
      <c r="B26" s="16" t="s">
        <v>53</v>
      </c>
      <c r="C26" s="17" t="s">
        <v>54</v>
      </c>
      <c r="D26" s="17" t="s">
        <v>60</v>
      </c>
      <c r="E26" s="17" t="s">
        <v>55</v>
      </c>
      <c r="F26" s="17" t="s">
        <v>59</v>
      </c>
      <c r="G26" s="17" t="s">
        <v>57</v>
      </c>
      <c r="H26" s="17" t="s">
        <v>56</v>
      </c>
      <c r="I26" s="17" t="s">
        <v>58</v>
      </c>
      <c r="J26" s="17" t="s">
        <v>61</v>
      </c>
      <c r="K26" s="17" t="s">
        <v>62</v>
      </c>
      <c r="L26" s="17" t="s">
        <v>63</v>
      </c>
      <c r="M26" s="17" t="s">
        <v>64</v>
      </c>
      <c r="N26" s="17" t="s">
        <v>73</v>
      </c>
      <c r="O26" s="17" t="s">
        <v>70</v>
      </c>
      <c r="P26" s="17" t="s">
        <v>72</v>
      </c>
      <c r="Q26" s="17" t="s">
        <v>65</v>
      </c>
      <c r="R26" s="17" t="s">
        <v>68</v>
      </c>
      <c r="S26" s="17" t="s">
        <v>67</v>
      </c>
      <c r="T26" s="17" t="s">
        <v>71</v>
      </c>
      <c r="U26" s="17" t="s">
        <v>69</v>
      </c>
      <c r="V26" s="17" t="s">
        <v>66</v>
      </c>
    </row>
    <row r="27" spans="1:23">
      <c r="A27" s="18">
        <v>1</v>
      </c>
      <c r="B27" s="17" t="s">
        <v>54</v>
      </c>
      <c r="C27" s="14">
        <f>IF(C2&lt;&gt;"-",1/$W2,0)</f>
        <v>0.25</v>
      </c>
      <c r="D27" s="14">
        <f t="shared" ref="D27:V27" si="2">IF(D2&lt;&gt;"-",1/$W2,0)</f>
        <v>0.25</v>
      </c>
      <c r="E27" s="14">
        <f t="shared" si="2"/>
        <v>0.25</v>
      </c>
      <c r="F27" s="14">
        <f t="shared" si="2"/>
        <v>0.25</v>
      </c>
      <c r="G27" s="14">
        <f t="shared" si="2"/>
        <v>0</v>
      </c>
      <c r="H27" s="14">
        <f t="shared" si="2"/>
        <v>0</v>
      </c>
      <c r="I27" s="14">
        <f t="shared" si="2"/>
        <v>0</v>
      </c>
      <c r="J27" s="14">
        <f t="shared" si="2"/>
        <v>0</v>
      </c>
      <c r="K27" s="14">
        <f t="shared" si="2"/>
        <v>0</v>
      </c>
      <c r="L27" s="14">
        <f t="shared" si="2"/>
        <v>0</v>
      </c>
      <c r="M27" s="14">
        <f t="shared" si="2"/>
        <v>0</v>
      </c>
      <c r="N27" s="14">
        <f t="shared" si="2"/>
        <v>0</v>
      </c>
      <c r="O27" s="14">
        <f t="shared" si="2"/>
        <v>0</v>
      </c>
      <c r="P27" s="14">
        <f t="shared" si="2"/>
        <v>0</v>
      </c>
      <c r="Q27" s="14">
        <f t="shared" si="2"/>
        <v>0</v>
      </c>
      <c r="R27" s="14">
        <f t="shared" si="2"/>
        <v>0</v>
      </c>
      <c r="S27" s="14">
        <f t="shared" si="2"/>
        <v>0</v>
      </c>
      <c r="T27" s="14">
        <f t="shared" si="2"/>
        <v>0</v>
      </c>
      <c r="U27" s="14">
        <f t="shared" si="2"/>
        <v>0</v>
      </c>
      <c r="V27" s="14">
        <f t="shared" si="2"/>
        <v>0</v>
      </c>
    </row>
    <row r="28" spans="1:23">
      <c r="A28" s="18">
        <v>2</v>
      </c>
      <c r="B28" s="17" t="s">
        <v>60</v>
      </c>
      <c r="C28" s="14">
        <f t="shared" ref="C28:V28" si="3">IF(C3&lt;&gt;"-",1/$W3,0)</f>
        <v>0</v>
      </c>
      <c r="D28" s="14">
        <f t="shared" si="3"/>
        <v>0</v>
      </c>
      <c r="E28" s="14">
        <f t="shared" si="3"/>
        <v>0</v>
      </c>
      <c r="F28" s="14">
        <f t="shared" si="3"/>
        <v>0.25</v>
      </c>
      <c r="G28" s="14">
        <f t="shared" si="3"/>
        <v>0</v>
      </c>
      <c r="H28" s="14">
        <f t="shared" si="3"/>
        <v>0.25</v>
      </c>
      <c r="I28" s="14">
        <f t="shared" si="3"/>
        <v>0.25</v>
      </c>
      <c r="J28" s="14">
        <f t="shared" si="3"/>
        <v>0</v>
      </c>
      <c r="K28" s="14">
        <f t="shared" si="3"/>
        <v>0</v>
      </c>
      <c r="L28" s="14">
        <f t="shared" si="3"/>
        <v>0</v>
      </c>
      <c r="M28" s="14">
        <f t="shared" si="3"/>
        <v>0.25</v>
      </c>
      <c r="N28" s="14">
        <f t="shared" si="3"/>
        <v>0</v>
      </c>
      <c r="O28" s="14">
        <f t="shared" si="3"/>
        <v>0</v>
      </c>
      <c r="P28" s="14">
        <f t="shared" si="3"/>
        <v>0</v>
      </c>
      <c r="Q28" s="14">
        <f t="shared" si="3"/>
        <v>0</v>
      </c>
      <c r="R28" s="14">
        <f t="shared" si="3"/>
        <v>0</v>
      </c>
      <c r="S28" s="14">
        <f t="shared" si="3"/>
        <v>0</v>
      </c>
      <c r="T28" s="14">
        <f t="shared" si="3"/>
        <v>0</v>
      </c>
      <c r="U28" s="14">
        <f t="shared" si="3"/>
        <v>0</v>
      </c>
      <c r="V28" s="14">
        <f t="shared" si="3"/>
        <v>0</v>
      </c>
    </row>
    <row r="29" spans="1:23">
      <c r="A29" s="18">
        <f>A28+1</f>
        <v>3</v>
      </c>
      <c r="B29" s="17" t="s">
        <v>55</v>
      </c>
      <c r="C29" s="14">
        <f t="shared" ref="C29:V29" si="4">IF(C4&lt;&gt;"-",1/$W4,0)</f>
        <v>0.25</v>
      </c>
      <c r="D29" s="14">
        <f t="shared" si="4"/>
        <v>0.25</v>
      </c>
      <c r="E29" s="14">
        <f t="shared" si="4"/>
        <v>0.25</v>
      </c>
      <c r="F29" s="14">
        <f t="shared" si="4"/>
        <v>0.25</v>
      </c>
      <c r="G29" s="14">
        <f t="shared" si="4"/>
        <v>0</v>
      </c>
      <c r="H29" s="14">
        <f t="shared" si="4"/>
        <v>0</v>
      </c>
      <c r="I29" s="14">
        <f t="shared" si="4"/>
        <v>0</v>
      </c>
      <c r="J29" s="14">
        <f t="shared" si="4"/>
        <v>0</v>
      </c>
      <c r="K29" s="14">
        <f t="shared" si="4"/>
        <v>0</v>
      </c>
      <c r="L29" s="14">
        <f t="shared" si="4"/>
        <v>0</v>
      </c>
      <c r="M29" s="14">
        <f t="shared" si="4"/>
        <v>0</v>
      </c>
      <c r="N29" s="14">
        <f t="shared" si="4"/>
        <v>0</v>
      </c>
      <c r="O29" s="14">
        <f t="shared" si="4"/>
        <v>0</v>
      </c>
      <c r="P29" s="14">
        <f t="shared" si="4"/>
        <v>0</v>
      </c>
      <c r="Q29" s="14">
        <f t="shared" si="4"/>
        <v>0</v>
      </c>
      <c r="R29" s="14">
        <f t="shared" si="4"/>
        <v>0</v>
      </c>
      <c r="S29" s="14">
        <f t="shared" si="4"/>
        <v>0</v>
      </c>
      <c r="T29" s="14">
        <f t="shared" si="4"/>
        <v>0</v>
      </c>
      <c r="U29" s="14">
        <f t="shared" si="4"/>
        <v>0</v>
      </c>
      <c r="V29" s="14">
        <f t="shared" si="4"/>
        <v>0</v>
      </c>
    </row>
    <row r="30" spans="1:23">
      <c r="A30" s="18">
        <f t="shared" ref="A30:A33" si="5">A29+1</f>
        <v>4</v>
      </c>
      <c r="B30" s="17" t="s">
        <v>59</v>
      </c>
      <c r="C30" s="14">
        <f t="shared" ref="C30:V30" si="6">IF(C5&lt;&gt;"-",1/$W5,0)</f>
        <v>0</v>
      </c>
      <c r="D30" s="14">
        <f t="shared" si="6"/>
        <v>0</v>
      </c>
      <c r="E30" s="14">
        <f t="shared" si="6"/>
        <v>0.25</v>
      </c>
      <c r="F30" s="14">
        <f t="shared" si="6"/>
        <v>0</v>
      </c>
      <c r="G30" s="14">
        <f t="shared" si="6"/>
        <v>0.25</v>
      </c>
      <c r="H30" s="14">
        <f t="shared" si="6"/>
        <v>0.25</v>
      </c>
      <c r="I30" s="14">
        <f t="shared" si="6"/>
        <v>0</v>
      </c>
      <c r="J30" s="14">
        <f t="shared" si="6"/>
        <v>0</v>
      </c>
      <c r="K30" s="14">
        <f t="shared" si="6"/>
        <v>0.25</v>
      </c>
      <c r="L30" s="14">
        <f t="shared" si="6"/>
        <v>0</v>
      </c>
      <c r="M30" s="14">
        <f t="shared" si="6"/>
        <v>0</v>
      </c>
      <c r="N30" s="14">
        <f t="shared" si="6"/>
        <v>0</v>
      </c>
      <c r="O30" s="14">
        <f t="shared" si="6"/>
        <v>0</v>
      </c>
      <c r="P30" s="14">
        <f t="shared" si="6"/>
        <v>0</v>
      </c>
      <c r="Q30" s="14">
        <f t="shared" si="6"/>
        <v>0</v>
      </c>
      <c r="R30" s="14">
        <f t="shared" si="6"/>
        <v>0</v>
      </c>
      <c r="S30" s="14">
        <f t="shared" si="6"/>
        <v>0</v>
      </c>
      <c r="T30" s="14">
        <f t="shared" si="6"/>
        <v>0</v>
      </c>
      <c r="U30" s="14">
        <f t="shared" si="6"/>
        <v>0</v>
      </c>
      <c r="V30" s="14">
        <f t="shared" si="6"/>
        <v>0</v>
      </c>
    </row>
    <row r="31" spans="1:23">
      <c r="A31" s="18">
        <f t="shared" si="5"/>
        <v>5</v>
      </c>
      <c r="B31" s="17" t="s">
        <v>57</v>
      </c>
      <c r="C31" s="14">
        <f t="shared" ref="C31:V31" si="7">IF(C6&lt;&gt;"-",1/$W6,0)</f>
        <v>0</v>
      </c>
      <c r="D31" s="14">
        <f t="shared" si="7"/>
        <v>0</v>
      </c>
      <c r="E31" s="14">
        <f t="shared" si="7"/>
        <v>0</v>
      </c>
      <c r="F31" s="14">
        <f t="shared" si="7"/>
        <v>0.25</v>
      </c>
      <c r="G31" s="14">
        <f t="shared" si="7"/>
        <v>0</v>
      </c>
      <c r="H31" s="14">
        <f t="shared" si="7"/>
        <v>0.25</v>
      </c>
      <c r="I31" s="14">
        <f t="shared" si="7"/>
        <v>0.25</v>
      </c>
      <c r="J31" s="14">
        <f t="shared" si="7"/>
        <v>0</v>
      </c>
      <c r="K31" s="14">
        <f t="shared" si="7"/>
        <v>0</v>
      </c>
      <c r="L31" s="14">
        <f t="shared" si="7"/>
        <v>0</v>
      </c>
      <c r="M31" s="14">
        <f t="shared" si="7"/>
        <v>0.25</v>
      </c>
      <c r="N31" s="14">
        <f t="shared" si="7"/>
        <v>0</v>
      </c>
      <c r="O31" s="14">
        <f t="shared" si="7"/>
        <v>0</v>
      </c>
      <c r="P31" s="14">
        <f t="shared" si="7"/>
        <v>0</v>
      </c>
      <c r="Q31" s="14">
        <f t="shared" si="7"/>
        <v>0</v>
      </c>
      <c r="R31" s="14">
        <f t="shared" si="7"/>
        <v>0</v>
      </c>
      <c r="S31" s="14">
        <f t="shared" si="7"/>
        <v>0</v>
      </c>
      <c r="T31" s="14">
        <f t="shared" si="7"/>
        <v>0</v>
      </c>
      <c r="U31" s="14">
        <f t="shared" si="7"/>
        <v>0</v>
      </c>
      <c r="V31" s="14">
        <f t="shared" si="7"/>
        <v>0</v>
      </c>
    </row>
    <row r="32" spans="1:23">
      <c r="A32" s="18">
        <f t="shared" si="5"/>
        <v>6</v>
      </c>
      <c r="B32" s="17" t="s">
        <v>56</v>
      </c>
      <c r="C32" s="14">
        <f t="shared" ref="C32:V32" si="8">IF(C7&lt;&gt;"-",1/$W7,0)</f>
        <v>0</v>
      </c>
      <c r="D32" s="14">
        <f t="shared" si="8"/>
        <v>0</v>
      </c>
      <c r="E32" s="14">
        <f t="shared" si="8"/>
        <v>0.25</v>
      </c>
      <c r="F32" s="14">
        <f t="shared" si="8"/>
        <v>0</v>
      </c>
      <c r="G32" s="14">
        <f t="shared" si="8"/>
        <v>0.25</v>
      </c>
      <c r="H32" s="14">
        <f t="shared" si="8"/>
        <v>0.25</v>
      </c>
      <c r="I32" s="14">
        <f t="shared" si="8"/>
        <v>0</v>
      </c>
      <c r="J32" s="14">
        <f t="shared" si="8"/>
        <v>0</v>
      </c>
      <c r="K32" s="14">
        <f t="shared" si="8"/>
        <v>0.25</v>
      </c>
      <c r="L32" s="14">
        <f t="shared" si="8"/>
        <v>0</v>
      </c>
      <c r="M32" s="14">
        <f t="shared" si="8"/>
        <v>0</v>
      </c>
      <c r="N32" s="14">
        <f t="shared" si="8"/>
        <v>0</v>
      </c>
      <c r="O32" s="14">
        <f t="shared" si="8"/>
        <v>0</v>
      </c>
      <c r="P32" s="14">
        <f t="shared" si="8"/>
        <v>0</v>
      </c>
      <c r="Q32" s="14">
        <f t="shared" si="8"/>
        <v>0</v>
      </c>
      <c r="R32" s="14">
        <f t="shared" si="8"/>
        <v>0</v>
      </c>
      <c r="S32" s="14">
        <f t="shared" si="8"/>
        <v>0</v>
      </c>
      <c r="T32" s="14">
        <f t="shared" si="8"/>
        <v>0</v>
      </c>
      <c r="U32" s="14">
        <f t="shared" si="8"/>
        <v>0</v>
      </c>
      <c r="V32" s="14">
        <f t="shared" si="8"/>
        <v>0</v>
      </c>
    </row>
    <row r="33" spans="1:22">
      <c r="A33" s="18">
        <f t="shared" si="5"/>
        <v>7</v>
      </c>
      <c r="B33" s="17" t="s">
        <v>58</v>
      </c>
      <c r="C33" s="14">
        <f t="shared" ref="C33:V33" si="9">IF(C8&lt;&gt;"-",1/$W8,0)</f>
        <v>0</v>
      </c>
      <c r="D33" s="14">
        <f t="shared" si="9"/>
        <v>0</v>
      </c>
      <c r="E33" s="14">
        <f t="shared" si="9"/>
        <v>0</v>
      </c>
      <c r="F33" s="14">
        <f t="shared" si="9"/>
        <v>0</v>
      </c>
      <c r="G33" s="14">
        <f t="shared" si="9"/>
        <v>0</v>
      </c>
      <c r="H33" s="14">
        <f t="shared" si="9"/>
        <v>0.25</v>
      </c>
      <c r="I33" s="14">
        <f t="shared" si="9"/>
        <v>0</v>
      </c>
      <c r="J33" s="14">
        <f t="shared" si="9"/>
        <v>0.25</v>
      </c>
      <c r="K33" s="14">
        <f t="shared" si="9"/>
        <v>0</v>
      </c>
      <c r="L33" s="14">
        <f t="shared" si="9"/>
        <v>0</v>
      </c>
      <c r="M33" s="14">
        <f t="shared" si="9"/>
        <v>0</v>
      </c>
      <c r="N33" s="14">
        <f t="shared" si="9"/>
        <v>0</v>
      </c>
      <c r="O33" s="14">
        <f t="shared" si="9"/>
        <v>0</v>
      </c>
      <c r="P33" s="14">
        <f t="shared" si="9"/>
        <v>0</v>
      </c>
      <c r="Q33" s="14">
        <f t="shared" si="9"/>
        <v>0.25</v>
      </c>
      <c r="R33" s="14">
        <f t="shared" si="9"/>
        <v>0</v>
      </c>
      <c r="S33" s="14">
        <f t="shared" si="9"/>
        <v>0</v>
      </c>
      <c r="T33" s="14">
        <f t="shared" si="9"/>
        <v>0</v>
      </c>
      <c r="U33" s="14">
        <f t="shared" si="9"/>
        <v>0</v>
      </c>
      <c r="V33" s="14">
        <f t="shared" si="9"/>
        <v>0.25</v>
      </c>
    </row>
    <row r="34" spans="1:22">
      <c r="A34" s="18">
        <v>8</v>
      </c>
      <c r="B34" s="17" t="s">
        <v>61</v>
      </c>
      <c r="C34" s="14">
        <f t="shared" ref="C34:V34" si="10">IF(C9&lt;&gt;"-",1/$W9,0)</f>
        <v>0</v>
      </c>
      <c r="D34" s="14">
        <f t="shared" si="10"/>
        <v>0</v>
      </c>
      <c r="E34" s="14">
        <f t="shared" si="10"/>
        <v>0</v>
      </c>
      <c r="F34" s="14">
        <f t="shared" si="10"/>
        <v>0</v>
      </c>
      <c r="G34" s="14">
        <f t="shared" si="10"/>
        <v>0</v>
      </c>
      <c r="H34" s="14">
        <f t="shared" si="10"/>
        <v>0.25</v>
      </c>
      <c r="I34" s="14">
        <f t="shared" si="10"/>
        <v>0</v>
      </c>
      <c r="J34" s="14">
        <f t="shared" si="10"/>
        <v>0.25</v>
      </c>
      <c r="K34" s="14">
        <f t="shared" si="10"/>
        <v>0</v>
      </c>
      <c r="L34" s="14">
        <f t="shared" si="10"/>
        <v>0</v>
      </c>
      <c r="M34" s="14">
        <f t="shared" si="10"/>
        <v>0</v>
      </c>
      <c r="N34" s="14">
        <f t="shared" si="10"/>
        <v>0</v>
      </c>
      <c r="O34" s="14">
        <f t="shared" si="10"/>
        <v>0</v>
      </c>
      <c r="P34" s="14">
        <f t="shared" si="10"/>
        <v>0</v>
      </c>
      <c r="Q34" s="14">
        <f t="shared" si="10"/>
        <v>0.25</v>
      </c>
      <c r="R34" s="14">
        <f t="shared" si="10"/>
        <v>0</v>
      </c>
      <c r="S34" s="14">
        <f t="shared" si="10"/>
        <v>0</v>
      </c>
      <c r="T34" s="14">
        <f t="shared" si="10"/>
        <v>0</v>
      </c>
      <c r="U34" s="14">
        <f t="shared" si="10"/>
        <v>0</v>
      </c>
      <c r="V34" s="14">
        <f t="shared" si="10"/>
        <v>0.25</v>
      </c>
    </row>
    <row r="35" spans="1:22">
      <c r="A35" s="18">
        <f>A34+1</f>
        <v>9</v>
      </c>
      <c r="B35" s="17" t="s">
        <v>62</v>
      </c>
      <c r="C35" s="19">
        <f t="shared" ref="C35:V35" si="11">IF(C10&lt;&gt;"-",1/$W10,0)</f>
        <v>0.1</v>
      </c>
      <c r="D35" s="19">
        <f t="shared" si="11"/>
        <v>0.1</v>
      </c>
      <c r="E35" s="19">
        <f t="shared" si="11"/>
        <v>0.1</v>
      </c>
      <c r="F35" s="19">
        <f t="shared" si="11"/>
        <v>0.1</v>
      </c>
      <c r="G35" s="19">
        <f t="shared" si="11"/>
        <v>0.1</v>
      </c>
      <c r="H35" s="19">
        <f t="shared" si="11"/>
        <v>0.1</v>
      </c>
      <c r="I35" s="19">
        <f t="shared" si="11"/>
        <v>0.1</v>
      </c>
      <c r="J35" s="19">
        <f t="shared" si="11"/>
        <v>0</v>
      </c>
      <c r="K35" s="19">
        <f t="shared" si="11"/>
        <v>0.1</v>
      </c>
      <c r="L35" s="19">
        <f t="shared" si="11"/>
        <v>0.1</v>
      </c>
      <c r="M35" s="19">
        <f t="shared" si="11"/>
        <v>0.1</v>
      </c>
      <c r="N35" s="19">
        <f t="shared" si="11"/>
        <v>0</v>
      </c>
      <c r="O35" s="19">
        <f t="shared" si="11"/>
        <v>0</v>
      </c>
      <c r="P35" s="19">
        <f t="shared" si="11"/>
        <v>0</v>
      </c>
      <c r="Q35" s="19">
        <f t="shared" si="11"/>
        <v>0</v>
      </c>
      <c r="R35" s="19">
        <f t="shared" si="11"/>
        <v>0</v>
      </c>
      <c r="S35" s="19">
        <f t="shared" si="11"/>
        <v>0</v>
      </c>
      <c r="T35" s="19">
        <f t="shared" si="11"/>
        <v>0</v>
      </c>
      <c r="U35" s="19">
        <f t="shared" si="11"/>
        <v>0</v>
      </c>
      <c r="V35" s="19">
        <f t="shared" si="11"/>
        <v>0</v>
      </c>
    </row>
    <row r="36" spans="1:22">
      <c r="A36" s="18">
        <f t="shared" ref="A36:A46" si="12">A35+1</f>
        <v>10</v>
      </c>
      <c r="B36" s="17" t="s">
        <v>63</v>
      </c>
      <c r="C36" s="19">
        <f t="shared" ref="C36:V36" si="13">IF(C11&lt;&gt;"-",1/$W11,0)</f>
        <v>0</v>
      </c>
      <c r="D36" s="14">
        <f t="shared" si="13"/>
        <v>0</v>
      </c>
      <c r="E36" s="14">
        <f t="shared" si="13"/>
        <v>0</v>
      </c>
      <c r="F36" s="14">
        <f t="shared" si="13"/>
        <v>0</v>
      </c>
      <c r="G36" s="14">
        <f t="shared" si="13"/>
        <v>0</v>
      </c>
      <c r="H36" s="14">
        <f t="shared" si="13"/>
        <v>0</v>
      </c>
      <c r="I36" s="14">
        <f t="shared" si="13"/>
        <v>0</v>
      </c>
      <c r="J36" s="14">
        <f t="shared" si="13"/>
        <v>0</v>
      </c>
      <c r="K36" s="14">
        <f t="shared" si="13"/>
        <v>0</v>
      </c>
      <c r="L36" s="14">
        <f t="shared" si="13"/>
        <v>0</v>
      </c>
      <c r="M36" s="14">
        <f t="shared" si="13"/>
        <v>0.25</v>
      </c>
      <c r="N36" s="14">
        <f t="shared" si="13"/>
        <v>0</v>
      </c>
      <c r="O36" s="14">
        <f t="shared" si="13"/>
        <v>0.25</v>
      </c>
      <c r="P36" s="14">
        <f t="shared" si="13"/>
        <v>0</v>
      </c>
      <c r="Q36" s="14">
        <f t="shared" si="13"/>
        <v>0.25</v>
      </c>
      <c r="R36" s="14">
        <f t="shared" si="13"/>
        <v>0</v>
      </c>
      <c r="S36" s="14">
        <f t="shared" si="13"/>
        <v>0</v>
      </c>
      <c r="T36" s="14">
        <f t="shared" si="13"/>
        <v>0</v>
      </c>
      <c r="U36" s="14">
        <f t="shared" si="13"/>
        <v>0.25</v>
      </c>
      <c r="V36" s="14">
        <f t="shared" si="13"/>
        <v>0</v>
      </c>
    </row>
    <row r="37" spans="1:22">
      <c r="A37" s="18">
        <f t="shared" si="12"/>
        <v>11</v>
      </c>
      <c r="B37" s="17" t="s">
        <v>64</v>
      </c>
      <c r="C37" s="19">
        <f t="shared" ref="C37:V37" si="14">IF(C12&lt;&gt;"-",1/$W12,0)</f>
        <v>0</v>
      </c>
      <c r="D37" s="14">
        <f t="shared" si="14"/>
        <v>0</v>
      </c>
      <c r="E37" s="14">
        <f t="shared" si="14"/>
        <v>0</v>
      </c>
      <c r="F37" s="14">
        <f t="shared" si="14"/>
        <v>0</v>
      </c>
      <c r="G37" s="14">
        <f t="shared" si="14"/>
        <v>0</v>
      </c>
      <c r="H37" s="14">
        <f t="shared" si="14"/>
        <v>0</v>
      </c>
      <c r="I37" s="14">
        <f t="shared" si="14"/>
        <v>0</v>
      </c>
      <c r="J37" s="14">
        <f t="shared" si="14"/>
        <v>0</v>
      </c>
      <c r="K37" s="14">
        <f t="shared" si="14"/>
        <v>0.25</v>
      </c>
      <c r="L37" s="14">
        <f t="shared" si="14"/>
        <v>0</v>
      </c>
      <c r="M37" s="14">
        <f t="shared" si="14"/>
        <v>0</v>
      </c>
      <c r="N37" s="14">
        <f t="shared" si="14"/>
        <v>0.25</v>
      </c>
      <c r="O37" s="14">
        <f t="shared" si="14"/>
        <v>0</v>
      </c>
      <c r="P37" s="14">
        <f t="shared" si="14"/>
        <v>0</v>
      </c>
      <c r="Q37" s="14">
        <f t="shared" si="14"/>
        <v>0</v>
      </c>
      <c r="R37" s="14">
        <f t="shared" si="14"/>
        <v>0.25</v>
      </c>
      <c r="S37" s="14">
        <f t="shared" si="14"/>
        <v>0</v>
      </c>
      <c r="T37" s="14">
        <f t="shared" si="14"/>
        <v>0</v>
      </c>
      <c r="U37" s="14">
        <f t="shared" si="14"/>
        <v>0</v>
      </c>
      <c r="V37" s="14">
        <f t="shared" si="14"/>
        <v>0.25</v>
      </c>
    </row>
    <row r="38" spans="1:22">
      <c r="A38" s="18">
        <f t="shared" si="12"/>
        <v>12</v>
      </c>
      <c r="B38" s="17" t="s">
        <v>73</v>
      </c>
      <c r="C38" s="19">
        <f t="shared" ref="C38:V38" si="15">IF(C13&lt;&gt;"-",1/$W13,0)</f>
        <v>0.05</v>
      </c>
      <c r="D38" s="19">
        <f t="shared" si="15"/>
        <v>0.05</v>
      </c>
      <c r="E38" s="19">
        <f t="shared" si="15"/>
        <v>0.05</v>
      </c>
      <c r="F38" s="19">
        <f t="shared" si="15"/>
        <v>0.05</v>
      </c>
      <c r="G38" s="19">
        <f t="shared" si="15"/>
        <v>0.05</v>
      </c>
      <c r="H38" s="19">
        <f t="shared" si="15"/>
        <v>0.05</v>
      </c>
      <c r="I38" s="19">
        <f t="shared" si="15"/>
        <v>0.05</v>
      </c>
      <c r="J38" s="19">
        <f t="shared" si="15"/>
        <v>0.05</v>
      </c>
      <c r="K38" s="19">
        <f t="shared" si="15"/>
        <v>0.05</v>
      </c>
      <c r="L38" s="19">
        <f t="shared" si="15"/>
        <v>0.05</v>
      </c>
      <c r="M38" s="19">
        <f t="shared" si="15"/>
        <v>0.05</v>
      </c>
      <c r="N38" s="19">
        <f t="shared" si="15"/>
        <v>0.05</v>
      </c>
      <c r="O38" s="19">
        <f t="shared" si="15"/>
        <v>0.05</v>
      </c>
      <c r="P38" s="19">
        <f t="shared" si="15"/>
        <v>0.05</v>
      </c>
      <c r="Q38" s="19">
        <f t="shared" si="15"/>
        <v>0.05</v>
      </c>
      <c r="R38" s="19">
        <f t="shared" si="15"/>
        <v>0.05</v>
      </c>
      <c r="S38" s="19">
        <f t="shared" si="15"/>
        <v>0.05</v>
      </c>
      <c r="T38" s="19">
        <f t="shared" si="15"/>
        <v>0.05</v>
      </c>
      <c r="U38" s="19">
        <f t="shared" si="15"/>
        <v>0.05</v>
      </c>
      <c r="V38" s="19">
        <f t="shared" si="15"/>
        <v>0.05</v>
      </c>
    </row>
    <row r="39" spans="1:22">
      <c r="A39" s="18">
        <f t="shared" si="12"/>
        <v>13</v>
      </c>
      <c r="B39" s="17" t="s">
        <v>70</v>
      </c>
      <c r="C39" s="19">
        <f t="shared" ref="C39:V39" si="16">IF(C14&lt;&gt;"-",1/$W14,0)</f>
        <v>0</v>
      </c>
      <c r="D39" s="19">
        <f t="shared" si="16"/>
        <v>0</v>
      </c>
      <c r="E39" s="19">
        <f t="shared" si="16"/>
        <v>0</v>
      </c>
      <c r="F39" s="19">
        <f t="shared" si="16"/>
        <v>0</v>
      </c>
      <c r="G39" s="19">
        <f t="shared" si="16"/>
        <v>0</v>
      </c>
      <c r="H39" s="19">
        <f t="shared" si="16"/>
        <v>0</v>
      </c>
      <c r="I39" s="19">
        <f t="shared" si="16"/>
        <v>0</v>
      </c>
      <c r="J39" s="19">
        <f t="shared" si="16"/>
        <v>0</v>
      </c>
      <c r="K39" s="19">
        <f t="shared" si="16"/>
        <v>0</v>
      </c>
      <c r="L39" s="19">
        <f t="shared" si="16"/>
        <v>0</v>
      </c>
      <c r="M39" s="19">
        <f t="shared" si="16"/>
        <v>0</v>
      </c>
      <c r="N39" s="19">
        <f t="shared" si="16"/>
        <v>1</v>
      </c>
      <c r="O39" s="19">
        <f t="shared" si="16"/>
        <v>0</v>
      </c>
      <c r="P39" s="19">
        <f t="shared" si="16"/>
        <v>0</v>
      </c>
      <c r="Q39" s="19">
        <f t="shared" si="16"/>
        <v>0</v>
      </c>
      <c r="R39" s="19">
        <f t="shared" si="16"/>
        <v>0</v>
      </c>
      <c r="S39" s="19">
        <f t="shared" si="16"/>
        <v>0</v>
      </c>
      <c r="T39" s="19">
        <f t="shared" si="16"/>
        <v>0</v>
      </c>
      <c r="U39" s="19">
        <f t="shared" si="16"/>
        <v>0</v>
      </c>
      <c r="V39" s="19">
        <f t="shared" si="16"/>
        <v>0</v>
      </c>
    </row>
    <row r="40" spans="1:22">
      <c r="A40" s="18">
        <f t="shared" si="12"/>
        <v>14</v>
      </c>
      <c r="B40" s="17" t="s">
        <v>72</v>
      </c>
      <c r="C40" s="19">
        <f t="shared" ref="C40:V40" si="17">IF(C15&lt;&gt;"-",1/$W15,0)</f>
        <v>0</v>
      </c>
      <c r="D40" s="19">
        <f t="shared" si="17"/>
        <v>0</v>
      </c>
      <c r="E40" s="19">
        <f t="shared" si="17"/>
        <v>0</v>
      </c>
      <c r="F40" s="19">
        <f t="shared" si="17"/>
        <v>0</v>
      </c>
      <c r="G40" s="19">
        <f t="shared" si="17"/>
        <v>0</v>
      </c>
      <c r="H40" s="19">
        <f t="shared" si="17"/>
        <v>0</v>
      </c>
      <c r="I40" s="19">
        <f t="shared" si="17"/>
        <v>0</v>
      </c>
      <c r="J40" s="19">
        <f t="shared" si="17"/>
        <v>0</v>
      </c>
      <c r="K40" s="19">
        <f t="shared" si="17"/>
        <v>0</v>
      </c>
      <c r="L40" s="19">
        <f t="shared" si="17"/>
        <v>0</v>
      </c>
      <c r="M40" s="19">
        <f t="shared" si="17"/>
        <v>0</v>
      </c>
      <c r="N40" s="19">
        <f t="shared" si="17"/>
        <v>0</v>
      </c>
      <c r="O40" s="19">
        <f t="shared" si="17"/>
        <v>1</v>
      </c>
      <c r="P40" s="19">
        <f t="shared" si="17"/>
        <v>0</v>
      </c>
      <c r="Q40" s="19">
        <f t="shared" si="17"/>
        <v>0</v>
      </c>
      <c r="R40" s="19">
        <f t="shared" si="17"/>
        <v>0</v>
      </c>
      <c r="S40" s="19">
        <f t="shared" si="17"/>
        <v>0</v>
      </c>
      <c r="T40" s="19">
        <f t="shared" si="17"/>
        <v>0</v>
      </c>
      <c r="U40" s="19">
        <f t="shared" si="17"/>
        <v>0</v>
      </c>
      <c r="V40" s="19">
        <f t="shared" si="17"/>
        <v>0</v>
      </c>
    </row>
    <row r="41" spans="1:22">
      <c r="A41" s="18">
        <f t="shared" si="12"/>
        <v>15</v>
      </c>
      <c r="B41" s="17" t="s">
        <v>65</v>
      </c>
      <c r="C41" s="19">
        <f t="shared" ref="C41:V41" si="18">IF(C16&lt;&gt;"-",1/$W16,0)</f>
        <v>0</v>
      </c>
      <c r="D41" s="19">
        <f t="shared" si="18"/>
        <v>0</v>
      </c>
      <c r="E41" s="19">
        <f t="shared" si="18"/>
        <v>0</v>
      </c>
      <c r="F41" s="19">
        <f t="shared" si="18"/>
        <v>0</v>
      </c>
      <c r="G41" s="19">
        <f t="shared" si="18"/>
        <v>0</v>
      </c>
      <c r="H41" s="19">
        <f t="shared" si="18"/>
        <v>0</v>
      </c>
      <c r="I41" s="19">
        <f t="shared" si="18"/>
        <v>0</v>
      </c>
      <c r="J41" s="19">
        <f t="shared" si="18"/>
        <v>0</v>
      </c>
      <c r="K41" s="19">
        <f t="shared" si="18"/>
        <v>0.25</v>
      </c>
      <c r="L41" s="19">
        <f t="shared" si="18"/>
        <v>0</v>
      </c>
      <c r="M41" s="19">
        <f t="shared" si="18"/>
        <v>0</v>
      </c>
      <c r="N41" s="19">
        <f t="shared" si="18"/>
        <v>0.25</v>
      </c>
      <c r="O41" s="19">
        <f t="shared" si="18"/>
        <v>0</v>
      </c>
      <c r="P41" s="19">
        <f t="shared" si="18"/>
        <v>0</v>
      </c>
      <c r="Q41" s="19">
        <f t="shared" si="18"/>
        <v>0</v>
      </c>
      <c r="R41" s="19">
        <f t="shared" si="18"/>
        <v>0.25</v>
      </c>
      <c r="S41" s="19">
        <f t="shared" si="18"/>
        <v>0</v>
      </c>
      <c r="T41" s="19">
        <f t="shared" si="18"/>
        <v>0</v>
      </c>
      <c r="U41" s="19">
        <f t="shared" si="18"/>
        <v>0</v>
      </c>
      <c r="V41" s="19">
        <f t="shared" si="18"/>
        <v>0.25</v>
      </c>
    </row>
    <row r="42" spans="1:22">
      <c r="A42" s="18">
        <f t="shared" si="12"/>
        <v>16</v>
      </c>
      <c r="B42" s="17" t="s">
        <v>68</v>
      </c>
      <c r="C42" s="14">
        <f t="shared" ref="C42:V42" si="19">IF(C17&lt;&gt;"-",1/$W17,0)</f>
        <v>0</v>
      </c>
      <c r="D42" s="14">
        <f t="shared" si="19"/>
        <v>0</v>
      </c>
      <c r="E42" s="14">
        <f t="shared" si="19"/>
        <v>0</v>
      </c>
      <c r="F42" s="14">
        <f t="shared" si="19"/>
        <v>0.1111111111111111</v>
      </c>
      <c r="G42" s="14">
        <f t="shared" si="19"/>
        <v>0</v>
      </c>
      <c r="H42" s="14">
        <f t="shared" si="19"/>
        <v>0.1111111111111111</v>
      </c>
      <c r="I42" s="14">
        <f t="shared" si="19"/>
        <v>0.1111111111111111</v>
      </c>
      <c r="J42" s="14">
        <f t="shared" si="19"/>
        <v>0.1111111111111111</v>
      </c>
      <c r="K42" s="14">
        <f t="shared" si="19"/>
        <v>0</v>
      </c>
      <c r="L42" s="14">
        <f t="shared" si="19"/>
        <v>0</v>
      </c>
      <c r="M42" s="14">
        <f t="shared" si="19"/>
        <v>0.1111111111111111</v>
      </c>
      <c r="N42" s="14">
        <f t="shared" si="19"/>
        <v>0</v>
      </c>
      <c r="O42" s="14">
        <f t="shared" si="19"/>
        <v>0.1111111111111111</v>
      </c>
      <c r="P42" s="14">
        <f t="shared" si="19"/>
        <v>0</v>
      </c>
      <c r="Q42" s="14">
        <f t="shared" si="19"/>
        <v>0.1111111111111111</v>
      </c>
      <c r="R42" s="14">
        <f t="shared" si="19"/>
        <v>0</v>
      </c>
      <c r="S42" s="14">
        <f t="shared" si="19"/>
        <v>0</v>
      </c>
      <c r="T42" s="14">
        <f t="shared" si="19"/>
        <v>0.1111111111111111</v>
      </c>
      <c r="U42" s="14">
        <f t="shared" si="19"/>
        <v>0.1111111111111111</v>
      </c>
      <c r="V42" s="19">
        <f t="shared" si="19"/>
        <v>0</v>
      </c>
    </row>
    <row r="43" spans="1:22">
      <c r="A43" s="18">
        <f t="shared" si="12"/>
        <v>17</v>
      </c>
      <c r="B43" s="17" t="s">
        <v>67</v>
      </c>
      <c r="C43" s="19">
        <f t="shared" ref="C43:V43" si="20">IF(C18&lt;&gt;"-",1/$W18,0)</f>
        <v>0</v>
      </c>
      <c r="D43" s="19">
        <f t="shared" si="20"/>
        <v>0</v>
      </c>
      <c r="E43" s="19">
        <f t="shared" si="20"/>
        <v>0</v>
      </c>
      <c r="F43" s="19">
        <f t="shared" si="20"/>
        <v>0</v>
      </c>
      <c r="G43" s="19">
        <f t="shared" si="20"/>
        <v>0</v>
      </c>
      <c r="H43" s="19">
        <f t="shared" si="20"/>
        <v>0</v>
      </c>
      <c r="I43" s="19">
        <f t="shared" si="20"/>
        <v>0</v>
      </c>
      <c r="J43" s="19">
        <f t="shared" si="20"/>
        <v>0</v>
      </c>
      <c r="K43" s="19">
        <f t="shared" si="20"/>
        <v>0</v>
      </c>
      <c r="L43" s="19">
        <f t="shared" si="20"/>
        <v>0</v>
      </c>
      <c r="M43" s="19">
        <f t="shared" si="20"/>
        <v>0.25</v>
      </c>
      <c r="N43" s="19">
        <f t="shared" si="20"/>
        <v>0</v>
      </c>
      <c r="O43" s="19">
        <f t="shared" si="20"/>
        <v>0.25</v>
      </c>
      <c r="P43" s="19">
        <f t="shared" si="20"/>
        <v>0</v>
      </c>
      <c r="Q43" s="19">
        <f t="shared" si="20"/>
        <v>0.25</v>
      </c>
      <c r="R43" s="19">
        <f t="shared" si="20"/>
        <v>0</v>
      </c>
      <c r="S43" s="19">
        <f t="shared" si="20"/>
        <v>0</v>
      </c>
      <c r="T43" s="19">
        <f t="shared" si="20"/>
        <v>0</v>
      </c>
      <c r="U43" s="19">
        <f t="shared" si="20"/>
        <v>0.25</v>
      </c>
      <c r="V43" s="19">
        <f t="shared" si="20"/>
        <v>0</v>
      </c>
    </row>
    <row r="44" spans="1:22">
      <c r="A44" s="18">
        <f t="shared" si="12"/>
        <v>18</v>
      </c>
      <c r="B44" s="17" t="s">
        <v>71</v>
      </c>
      <c r="C44" s="19">
        <f t="shared" ref="C44:V44" si="21">IF(C19&lt;&gt;"-",1/$W19,0)</f>
        <v>0</v>
      </c>
      <c r="D44" s="19">
        <f t="shared" si="21"/>
        <v>0</v>
      </c>
      <c r="E44" s="19">
        <f t="shared" si="21"/>
        <v>0</v>
      </c>
      <c r="F44" s="19">
        <f t="shared" si="21"/>
        <v>0</v>
      </c>
      <c r="G44" s="19">
        <f t="shared" si="21"/>
        <v>0</v>
      </c>
      <c r="H44" s="19">
        <f t="shared" si="21"/>
        <v>0</v>
      </c>
      <c r="I44" s="19">
        <f t="shared" si="21"/>
        <v>0</v>
      </c>
      <c r="J44" s="19">
        <f t="shared" si="21"/>
        <v>0</v>
      </c>
      <c r="K44" s="19">
        <f t="shared" si="21"/>
        <v>0</v>
      </c>
      <c r="L44" s="19">
        <f t="shared" si="21"/>
        <v>0</v>
      </c>
      <c r="M44" s="19">
        <f t="shared" si="21"/>
        <v>0</v>
      </c>
      <c r="N44" s="19">
        <f t="shared" si="21"/>
        <v>0</v>
      </c>
      <c r="O44" s="19">
        <f t="shared" si="21"/>
        <v>0</v>
      </c>
      <c r="P44" s="19">
        <f t="shared" si="21"/>
        <v>0</v>
      </c>
      <c r="Q44" s="19">
        <f t="shared" si="21"/>
        <v>1</v>
      </c>
      <c r="R44" s="19">
        <f t="shared" si="21"/>
        <v>0</v>
      </c>
      <c r="S44" s="19">
        <f t="shared" si="21"/>
        <v>0</v>
      </c>
      <c r="T44" s="19">
        <f t="shared" si="21"/>
        <v>0</v>
      </c>
      <c r="U44" s="19">
        <f t="shared" si="21"/>
        <v>0</v>
      </c>
      <c r="V44" s="19">
        <f t="shared" si="21"/>
        <v>0</v>
      </c>
    </row>
    <row r="45" spans="1:22">
      <c r="A45" s="18">
        <f t="shared" si="12"/>
        <v>19</v>
      </c>
      <c r="B45" s="17" t="s">
        <v>69</v>
      </c>
      <c r="C45" s="19">
        <f t="shared" ref="C45:V45" si="22">IF(C20&lt;&gt;"-",1/$W20,0)</f>
        <v>0</v>
      </c>
      <c r="D45" s="19">
        <f t="shared" si="22"/>
        <v>0</v>
      </c>
      <c r="E45" s="19">
        <f t="shared" si="22"/>
        <v>0</v>
      </c>
      <c r="F45" s="19">
        <f t="shared" si="22"/>
        <v>0</v>
      </c>
      <c r="G45" s="19">
        <f t="shared" si="22"/>
        <v>0</v>
      </c>
      <c r="H45" s="19">
        <f t="shared" si="22"/>
        <v>0</v>
      </c>
      <c r="I45" s="19">
        <f t="shared" si="22"/>
        <v>0</v>
      </c>
      <c r="J45" s="19">
        <f t="shared" si="22"/>
        <v>0</v>
      </c>
      <c r="K45" s="19">
        <f t="shared" si="22"/>
        <v>0</v>
      </c>
      <c r="L45" s="19">
        <f t="shared" si="22"/>
        <v>0</v>
      </c>
      <c r="M45" s="19">
        <f t="shared" si="22"/>
        <v>0</v>
      </c>
      <c r="N45" s="19">
        <f t="shared" si="22"/>
        <v>0</v>
      </c>
      <c r="O45" s="19">
        <f t="shared" si="22"/>
        <v>0</v>
      </c>
      <c r="P45" s="19">
        <f t="shared" si="22"/>
        <v>0</v>
      </c>
      <c r="Q45" s="19">
        <f t="shared" si="22"/>
        <v>0</v>
      </c>
      <c r="R45" s="19">
        <f t="shared" si="22"/>
        <v>0</v>
      </c>
      <c r="S45" s="19">
        <f t="shared" si="22"/>
        <v>0</v>
      </c>
      <c r="T45" s="19">
        <f t="shared" si="22"/>
        <v>0</v>
      </c>
      <c r="U45" s="19">
        <f t="shared" si="22"/>
        <v>0</v>
      </c>
      <c r="V45" s="19">
        <f t="shared" si="22"/>
        <v>1</v>
      </c>
    </row>
    <row r="46" spans="1:22">
      <c r="A46" s="18">
        <f t="shared" si="12"/>
        <v>20</v>
      </c>
      <c r="B46" s="17" t="s">
        <v>66</v>
      </c>
      <c r="C46" s="19">
        <f t="shared" ref="C46:V46" si="23">IF(C21&lt;&gt;"-",1/$W21,0)</f>
        <v>0</v>
      </c>
      <c r="D46" s="19">
        <f t="shared" si="23"/>
        <v>0</v>
      </c>
      <c r="E46" s="19">
        <f t="shared" si="23"/>
        <v>0.1</v>
      </c>
      <c r="F46" s="19">
        <f t="shared" si="23"/>
        <v>0</v>
      </c>
      <c r="G46" s="19">
        <f t="shared" si="23"/>
        <v>0.1</v>
      </c>
      <c r="H46" s="19">
        <f t="shared" si="23"/>
        <v>0.1</v>
      </c>
      <c r="I46" s="19">
        <f t="shared" si="23"/>
        <v>0</v>
      </c>
      <c r="J46" s="19">
        <f t="shared" si="23"/>
        <v>0.1</v>
      </c>
      <c r="K46" s="19">
        <f t="shared" si="23"/>
        <v>0.1</v>
      </c>
      <c r="L46" s="19">
        <f t="shared" si="23"/>
        <v>0</v>
      </c>
      <c r="M46" s="19">
        <f t="shared" si="23"/>
        <v>0</v>
      </c>
      <c r="N46" s="19">
        <f t="shared" si="23"/>
        <v>0.1</v>
      </c>
      <c r="O46" s="19">
        <f t="shared" si="23"/>
        <v>0</v>
      </c>
      <c r="P46" s="19">
        <f t="shared" si="23"/>
        <v>0</v>
      </c>
      <c r="Q46" s="19">
        <f t="shared" si="23"/>
        <v>0.1</v>
      </c>
      <c r="R46" s="19">
        <f t="shared" si="23"/>
        <v>0.1</v>
      </c>
      <c r="S46" s="19">
        <f t="shared" si="23"/>
        <v>0.1</v>
      </c>
      <c r="T46" s="19">
        <f t="shared" si="23"/>
        <v>0</v>
      </c>
      <c r="U46" s="19">
        <f t="shared" si="23"/>
        <v>0</v>
      </c>
      <c r="V46" s="19">
        <f t="shared" si="23"/>
        <v>0.1</v>
      </c>
    </row>
    <row r="47" spans="1:22">
      <c r="A47"/>
    </row>
  </sheetData>
  <pageMargins left="0.7" right="0.7" top="0.75" bottom="0.75" header="0.3" footer="0.3"/>
  <ignoredErrors>
    <ignoredError sqref="A25 B2:B12 C1:V1 A49:A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129-46C8-FD47-A38C-916114CA3C12}">
  <dimension ref="B1:I15"/>
  <sheetViews>
    <sheetView tabSelected="1" workbookViewId="0">
      <selection activeCell="H11" sqref="H11"/>
    </sheetView>
  </sheetViews>
  <sheetFormatPr baseColWidth="10" defaultRowHeight="16"/>
  <cols>
    <col min="1" max="1" width="10.83203125" style="1"/>
    <col min="2" max="2" width="12.33203125" style="1" bestFit="1" customWidth="1"/>
    <col min="3" max="16384" width="10.83203125" style="1"/>
  </cols>
  <sheetData>
    <row r="1" spans="2:9">
      <c r="B1" s="1" t="s">
        <v>109</v>
      </c>
      <c r="C1" s="1" t="s">
        <v>52</v>
      </c>
      <c r="D1" s="2" t="s">
        <v>56</v>
      </c>
      <c r="E1" s="2" t="s">
        <v>57</v>
      </c>
      <c r="F1" s="2" t="s">
        <v>58</v>
      </c>
      <c r="G1" s="2" t="s">
        <v>62</v>
      </c>
      <c r="H1" s="2" t="s">
        <v>64</v>
      </c>
    </row>
    <row r="2" spans="2:9">
      <c r="B2" s="1" t="s">
        <v>11</v>
      </c>
      <c r="C2" s="2" t="s">
        <v>56</v>
      </c>
      <c r="D2" s="20">
        <v>2</v>
      </c>
      <c r="E2" s="20">
        <v>3</v>
      </c>
      <c r="F2" s="20" t="s">
        <v>105</v>
      </c>
      <c r="G2" s="20">
        <v>1</v>
      </c>
      <c r="H2" s="20" t="s">
        <v>105</v>
      </c>
      <c r="I2">
        <f>COUNTIF(D2:H2,"&lt;&gt;-")</f>
        <v>3</v>
      </c>
    </row>
    <row r="3" spans="2:9">
      <c r="B3" s="1" t="s">
        <v>37</v>
      </c>
      <c r="C3" s="2" t="s">
        <v>57</v>
      </c>
      <c r="D3" s="20">
        <v>1</v>
      </c>
      <c r="E3" s="20" t="s">
        <v>105</v>
      </c>
      <c r="F3" s="20">
        <v>3</v>
      </c>
      <c r="G3" s="20" t="s">
        <v>105</v>
      </c>
      <c r="H3" s="20">
        <v>2</v>
      </c>
      <c r="I3">
        <f>COUNTIF(D3:H3,"&lt;&gt;-")</f>
        <v>3</v>
      </c>
    </row>
    <row r="4" spans="2:9">
      <c r="B4" s="1" t="s">
        <v>38</v>
      </c>
      <c r="C4" s="2" t="s">
        <v>58</v>
      </c>
      <c r="D4" s="20">
        <v>0</v>
      </c>
      <c r="E4" s="20" t="s">
        <v>105</v>
      </c>
      <c r="F4" s="20" t="s">
        <v>105</v>
      </c>
      <c r="G4" s="20" t="s">
        <v>105</v>
      </c>
      <c r="H4" s="20" t="s">
        <v>105</v>
      </c>
      <c r="I4">
        <f t="shared" ref="I4:I6" si="0">COUNTIF(D4:H4,"&lt;&gt;-")</f>
        <v>1</v>
      </c>
    </row>
    <row r="5" spans="2:9">
      <c r="B5" s="1" t="s">
        <v>39</v>
      </c>
      <c r="C5" s="2" t="s">
        <v>62</v>
      </c>
      <c r="D5" s="20" t="s">
        <v>106</v>
      </c>
      <c r="E5" s="20" t="s">
        <v>107</v>
      </c>
      <c r="F5" s="20" t="s">
        <v>105</v>
      </c>
      <c r="G5" s="20" t="s">
        <v>108</v>
      </c>
      <c r="H5" s="20" t="s">
        <v>105</v>
      </c>
      <c r="I5">
        <f t="shared" si="0"/>
        <v>3</v>
      </c>
    </row>
    <row r="6" spans="2:9">
      <c r="B6" s="1" t="s">
        <v>40</v>
      </c>
      <c r="C6" s="2" t="s">
        <v>64</v>
      </c>
      <c r="D6" s="20" t="s">
        <v>105</v>
      </c>
      <c r="E6" s="20" t="s">
        <v>105</v>
      </c>
      <c r="F6" s="20" t="s">
        <v>105</v>
      </c>
      <c r="G6" s="20">
        <v>0</v>
      </c>
      <c r="H6" s="20" t="s">
        <v>105</v>
      </c>
      <c r="I6">
        <f t="shared" si="0"/>
        <v>1</v>
      </c>
    </row>
    <row r="10" spans="2:9">
      <c r="B10" s="1" t="s">
        <v>109</v>
      </c>
      <c r="C10" s="1" t="s">
        <v>52</v>
      </c>
      <c r="D10" s="2" t="s">
        <v>56</v>
      </c>
      <c r="E10" s="2" t="s">
        <v>57</v>
      </c>
      <c r="F10" s="2" t="s">
        <v>58</v>
      </c>
      <c r="G10" s="2" t="s">
        <v>62</v>
      </c>
      <c r="H10" s="2" t="s">
        <v>64</v>
      </c>
    </row>
    <row r="11" spans="2:9">
      <c r="B11" s="1" t="s">
        <v>11</v>
      </c>
      <c r="C11" s="2" t="s">
        <v>56</v>
      </c>
      <c r="D11" s="21">
        <f>IF(D2&lt;&gt;"-",1/$I2,0)</f>
        <v>0.33333333333333331</v>
      </c>
      <c r="E11" s="21">
        <f t="shared" ref="E11:H11" si="1">IF(E2&lt;&gt;"-",1/$I2,0)</f>
        <v>0.33333333333333331</v>
      </c>
      <c r="F11" s="21">
        <f t="shared" si="1"/>
        <v>0</v>
      </c>
      <c r="G11" s="21">
        <f t="shared" si="1"/>
        <v>0.33333333333333331</v>
      </c>
      <c r="H11" s="21">
        <f t="shared" si="1"/>
        <v>0</v>
      </c>
    </row>
    <row r="12" spans="2:9">
      <c r="B12" s="1" t="s">
        <v>37</v>
      </c>
      <c r="C12" s="2" t="s">
        <v>57</v>
      </c>
      <c r="D12" s="21">
        <f t="shared" ref="D12:F12" si="2">IF(D3&lt;&gt;"-",1/$I3,0)</f>
        <v>0.33333333333333331</v>
      </c>
      <c r="E12" s="21">
        <f t="shared" si="2"/>
        <v>0</v>
      </c>
      <c r="F12" s="21">
        <f t="shared" si="2"/>
        <v>0.33333333333333331</v>
      </c>
      <c r="G12" s="21">
        <f>IF(G3&lt;&gt;"-",1/$I3,0)</f>
        <v>0</v>
      </c>
      <c r="H12" s="21">
        <f>IF(H3&lt;&gt;"-",1/$I3,0)</f>
        <v>0.33333333333333331</v>
      </c>
    </row>
    <row r="13" spans="2:9">
      <c r="B13" s="1" t="s">
        <v>38</v>
      </c>
      <c r="C13" s="2" t="s">
        <v>58</v>
      </c>
      <c r="D13" s="21">
        <f t="shared" ref="D13:H13" si="3">IF(D4&lt;&gt;"-",1/$I4,0)</f>
        <v>1</v>
      </c>
      <c r="E13" s="21">
        <f t="shared" si="3"/>
        <v>0</v>
      </c>
      <c r="F13" s="21">
        <f t="shared" si="3"/>
        <v>0</v>
      </c>
      <c r="G13" s="21">
        <f t="shared" si="3"/>
        <v>0</v>
      </c>
      <c r="H13" s="21">
        <f t="shared" si="3"/>
        <v>0</v>
      </c>
    </row>
    <row r="14" spans="2:9">
      <c r="B14" s="1" t="s">
        <v>39</v>
      </c>
      <c r="C14" s="2" t="s">
        <v>62</v>
      </c>
      <c r="D14" s="21">
        <f t="shared" ref="D14:H14" si="4">IF(D5&lt;&gt;"-",1/$I5,0)</f>
        <v>0.33333333333333331</v>
      </c>
      <c r="E14" s="21">
        <f t="shared" si="4"/>
        <v>0.33333333333333331</v>
      </c>
      <c r="F14" s="21">
        <f t="shared" si="4"/>
        <v>0</v>
      </c>
      <c r="G14" s="21">
        <f t="shared" si="4"/>
        <v>0.33333333333333331</v>
      </c>
      <c r="H14" s="21">
        <f t="shared" si="4"/>
        <v>0</v>
      </c>
    </row>
    <row r="15" spans="2:9">
      <c r="B15" s="1" t="s">
        <v>40</v>
      </c>
      <c r="C15" s="2" t="s">
        <v>64</v>
      </c>
      <c r="D15" s="21">
        <f t="shared" ref="D15:H15" si="5">IF(D6&lt;&gt;"-",1/$I6,0)</f>
        <v>0</v>
      </c>
      <c r="E15" s="21">
        <f t="shared" si="5"/>
        <v>0</v>
      </c>
      <c r="F15" s="21">
        <f t="shared" si="5"/>
        <v>0</v>
      </c>
      <c r="G15" s="21">
        <f t="shared" si="5"/>
        <v>1</v>
      </c>
      <c r="H15" s="21">
        <f t="shared" si="5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DAA5-E980-9843-BDCB-CDBEE788F46B}">
  <dimension ref="A1"/>
  <sheetViews>
    <sheetView workbookViewId="0">
      <selection activeCell="C2" sqref="C2"/>
    </sheetView>
  </sheetViews>
  <sheetFormatPr baseColWidth="10" defaultRowHeight="16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E501-D700-4548-A2E0-094A46FBE1CF}">
  <dimension ref="A1:H21"/>
  <sheetViews>
    <sheetView workbookViewId="0">
      <selection activeCell="G2" sqref="G2"/>
    </sheetView>
  </sheetViews>
  <sheetFormatPr baseColWidth="10" defaultRowHeight="16"/>
  <cols>
    <col min="2" max="2" width="10.83203125" style="6"/>
  </cols>
  <sheetData>
    <row r="1" spans="1:8">
      <c r="C1" s="23">
        <v>1</v>
      </c>
      <c r="D1" s="23">
        <v>2</v>
      </c>
      <c r="E1" s="23">
        <v>3</v>
      </c>
      <c r="F1" s="23">
        <v>4</v>
      </c>
      <c r="G1" s="23">
        <v>5</v>
      </c>
    </row>
    <row r="2" spans="1:8" s="6" customFormat="1">
      <c r="A2" s="6" t="s">
        <v>110</v>
      </c>
      <c r="B2" s="6" t="s">
        <v>53</v>
      </c>
      <c r="C2" s="22">
        <v>111</v>
      </c>
      <c r="D2" s="22" t="s">
        <v>65</v>
      </c>
      <c r="E2" s="22" t="s">
        <v>66</v>
      </c>
      <c r="F2" s="22" t="s">
        <v>68</v>
      </c>
      <c r="G2" s="6" t="s">
        <v>73</v>
      </c>
      <c r="H2" s="6" t="s">
        <v>114</v>
      </c>
    </row>
    <row r="3" spans="1:8">
      <c r="A3">
        <v>1</v>
      </c>
      <c r="B3" s="22">
        <v>111</v>
      </c>
      <c r="C3" s="15">
        <v>3</v>
      </c>
      <c r="D3" s="15">
        <v>2</v>
      </c>
      <c r="E3" s="15">
        <v>1</v>
      </c>
      <c r="F3" s="15" t="s">
        <v>105</v>
      </c>
      <c r="G3" s="15" t="s">
        <v>105</v>
      </c>
      <c r="H3">
        <f>COUNTIF(C3:G3,"&lt;&gt;-")</f>
        <v>3</v>
      </c>
    </row>
    <row r="4" spans="1:8">
      <c r="A4">
        <f>A3+1</f>
        <v>2</v>
      </c>
      <c r="B4" s="22" t="s">
        <v>65</v>
      </c>
      <c r="C4" s="15" t="s">
        <v>105</v>
      </c>
      <c r="D4" s="15" t="s">
        <v>105</v>
      </c>
      <c r="E4" s="15">
        <v>2</v>
      </c>
      <c r="F4" s="15">
        <v>3</v>
      </c>
      <c r="G4" s="15">
        <v>1</v>
      </c>
      <c r="H4">
        <f>COUNTIF(C4:G4,"&lt;&gt;-")</f>
        <v>3</v>
      </c>
    </row>
    <row r="5" spans="1:8">
      <c r="A5">
        <f t="shared" ref="A5:A7" si="0">A4+1</f>
        <v>3</v>
      </c>
      <c r="B5" s="22" t="s">
        <v>66</v>
      </c>
      <c r="C5" s="15" t="s">
        <v>105</v>
      </c>
      <c r="D5" s="15" t="s">
        <v>105</v>
      </c>
      <c r="E5" s="15" t="s">
        <v>106</v>
      </c>
      <c r="F5" s="15" t="s">
        <v>107</v>
      </c>
      <c r="G5" s="15" t="s">
        <v>108</v>
      </c>
      <c r="H5">
        <f>COUNTIF(C5:G5,"&lt;&gt;-")</f>
        <v>3</v>
      </c>
    </row>
    <row r="6" spans="1:8">
      <c r="A6">
        <f t="shared" si="0"/>
        <v>4</v>
      </c>
      <c r="B6" s="22" t="s">
        <v>68</v>
      </c>
      <c r="C6" s="15" t="s">
        <v>107</v>
      </c>
      <c r="D6" s="15" t="s">
        <v>106</v>
      </c>
      <c r="E6" s="15" t="s">
        <v>108</v>
      </c>
      <c r="F6" s="15" t="s">
        <v>105</v>
      </c>
      <c r="G6" s="15" t="s">
        <v>105</v>
      </c>
      <c r="H6">
        <f>COUNTIF(C6:G6,"&lt;&gt;-")</f>
        <v>3</v>
      </c>
    </row>
    <row r="7" spans="1:8">
      <c r="A7">
        <f t="shared" si="0"/>
        <v>5</v>
      </c>
      <c r="B7" s="22" t="s">
        <v>73</v>
      </c>
      <c r="C7" s="15" t="s">
        <v>105</v>
      </c>
      <c r="D7" s="15" t="s">
        <v>105</v>
      </c>
      <c r="E7" s="15" t="s">
        <v>112</v>
      </c>
      <c r="F7" s="15" t="s">
        <v>113</v>
      </c>
      <c r="G7" s="15" t="s">
        <v>111</v>
      </c>
      <c r="H7">
        <f>COUNTIF(C7:G7,"&lt;&gt;-")</f>
        <v>3</v>
      </c>
    </row>
    <row r="8" spans="1:8">
      <c r="B8" s="22"/>
      <c r="C8" s="15"/>
      <c r="D8" s="15"/>
      <c r="E8" s="15"/>
      <c r="F8" s="15"/>
      <c r="G8" s="15"/>
    </row>
    <row r="9" spans="1:8">
      <c r="C9" s="15"/>
      <c r="D9" s="15"/>
      <c r="E9" s="15"/>
      <c r="F9" s="15"/>
      <c r="G9" s="15"/>
    </row>
    <row r="10" spans="1:8">
      <c r="B10" s="22"/>
      <c r="C10" s="15"/>
      <c r="D10" s="15"/>
      <c r="E10" s="15"/>
      <c r="F10" s="15"/>
      <c r="G10" s="15"/>
    </row>
    <row r="13" spans="1:8">
      <c r="A13" s="6" t="s">
        <v>110</v>
      </c>
      <c r="B13" s="6" t="s">
        <v>53</v>
      </c>
      <c r="C13" s="22">
        <v>111</v>
      </c>
      <c r="D13" s="22" t="s">
        <v>65</v>
      </c>
      <c r="E13" s="22" t="s">
        <v>66</v>
      </c>
      <c r="F13" s="22" t="s">
        <v>68</v>
      </c>
      <c r="G13" s="6" t="s">
        <v>73</v>
      </c>
      <c r="H13" s="6" t="s">
        <v>43</v>
      </c>
    </row>
    <row r="14" spans="1:8">
      <c r="A14">
        <v>1</v>
      </c>
      <c r="B14" s="22">
        <v>111</v>
      </c>
      <c r="C14" s="14">
        <f>IF(C3&lt;&gt;"-",1/$H3,0)</f>
        <v>0.33333333333333331</v>
      </c>
      <c r="D14" s="14">
        <f>IF(D3&lt;&gt;"-",1/$H3,0)</f>
        <v>0.33333333333333331</v>
      </c>
      <c r="E14" s="14">
        <f>IF(E3&lt;&gt;"-",1/$H3,0)</f>
        <v>0.33333333333333331</v>
      </c>
      <c r="F14" s="14">
        <f>IF(F3&lt;&gt;"-",1/$H3,0)</f>
        <v>0</v>
      </c>
      <c r="G14" s="14">
        <f>IF(G3&lt;&gt;"-",1/$H3,0)</f>
        <v>0</v>
      </c>
      <c r="H14" s="21">
        <f>SUM(C14:G14)</f>
        <v>1</v>
      </c>
    </row>
    <row r="15" spans="1:8">
      <c r="A15">
        <f>A14+1</f>
        <v>2</v>
      </c>
      <c r="B15" s="22" t="s">
        <v>65</v>
      </c>
      <c r="C15" s="14">
        <f>IF(C4&lt;&gt;"-",1/$H4,0)</f>
        <v>0</v>
      </c>
      <c r="D15" s="14">
        <f>IF(D4&lt;&gt;"-",1/$H4,0)</f>
        <v>0</v>
      </c>
      <c r="E15" s="14">
        <f>IF(E4&lt;&gt;"-",1/$H4,0)</f>
        <v>0.33333333333333331</v>
      </c>
      <c r="F15" s="14">
        <f>IF(F4&lt;&gt;"-",1/$H4,0)</f>
        <v>0.33333333333333331</v>
      </c>
      <c r="G15" s="14">
        <f>IF(G4&lt;&gt;"-",1/$H4,0)</f>
        <v>0.33333333333333331</v>
      </c>
      <c r="H15" s="21">
        <f>SUM(C15:G15)</f>
        <v>1</v>
      </c>
    </row>
    <row r="16" spans="1:8">
      <c r="A16">
        <f t="shared" ref="A16:A18" si="1">A15+1</f>
        <v>3</v>
      </c>
      <c r="B16" s="22" t="s">
        <v>66</v>
      </c>
      <c r="C16" s="14">
        <f>IF(C5&lt;&gt;"-",1/$H5,0)</f>
        <v>0</v>
      </c>
      <c r="D16" s="14">
        <f>IF(D5&lt;&gt;"-",1/$H5,0)</f>
        <v>0</v>
      </c>
      <c r="E16" s="14">
        <f>IF(E5&lt;&gt;"-",1/$H5,0)</f>
        <v>0.33333333333333331</v>
      </c>
      <c r="F16" s="14">
        <f>IF(F5&lt;&gt;"-",1/$H5,0)</f>
        <v>0.33333333333333331</v>
      </c>
      <c r="G16" s="14">
        <f>IF(G5&lt;&gt;"-",1/$H5,0)</f>
        <v>0.33333333333333331</v>
      </c>
      <c r="H16" s="21">
        <f>SUM(C16:G16)</f>
        <v>1</v>
      </c>
    </row>
    <row r="17" spans="1:8">
      <c r="A17">
        <f t="shared" si="1"/>
        <v>4</v>
      </c>
      <c r="B17" s="22" t="s">
        <v>68</v>
      </c>
      <c r="C17" s="14">
        <f>IF(C6&lt;&gt;"-",1/$H6,0)</f>
        <v>0.33333333333333331</v>
      </c>
      <c r="D17" s="14">
        <f>IF(D6&lt;&gt;"-",1/$H6,0)</f>
        <v>0.33333333333333331</v>
      </c>
      <c r="E17" s="14">
        <f>IF(E6&lt;&gt;"-",1/$H6,0)</f>
        <v>0.33333333333333331</v>
      </c>
      <c r="F17" s="14">
        <f>IF(F6&lt;&gt;"-",1/$H6,0)</f>
        <v>0</v>
      </c>
      <c r="G17" s="14">
        <f>IF(G6&lt;&gt;"-",1/$H6,0)</f>
        <v>0</v>
      </c>
      <c r="H17" s="21">
        <f>SUM(C17:G17)</f>
        <v>1</v>
      </c>
    </row>
    <row r="18" spans="1:8">
      <c r="A18">
        <f t="shared" si="1"/>
        <v>5</v>
      </c>
      <c r="B18" s="22" t="s">
        <v>73</v>
      </c>
      <c r="C18" s="14">
        <f>IF(C7&lt;&gt;"-",1/$H7,0)</f>
        <v>0</v>
      </c>
      <c r="D18" s="14">
        <f>IF(D7&lt;&gt;"-",1/$H7,0)</f>
        <v>0</v>
      </c>
      <c r="E18" s="14">
        <f>IF(E7&lt;&gt;"-",1/$H7,0)</f>
        <v>0.33333333333333331</v>
      </c>
      <c r="F18" s="14">
        <f>IF(F7&lt;&gt;"-",1/$H7,0)</f>
        <v>0.33333333333333331</v>
      </c>
      <c r="G18" s="14">
        <f>IF(G7&lt;&gt;"-",1/$H7,0)</f>
        <v>0.33333333333333331</v>
      </c>
      <c r="H18" s="21">
        <f>SUM(C18:G18)</f>
        <v>1</v>
      </c>
    </row>
    <row r="19" spans="1:8">
      <c r="B19" s="22"/>
      <c r="C19" s="14"/>
      <c r="D19" s="14"/>
      <c r="E19" s="14"/>
      <c r="F19" s="14"/>
      <c r="G19" s="14"/>
      <c r="H19" s="21"/>
    </row>
    <row r="20" spans="1:8">
      <c r="B20" s="22"/>
      <c r="C20" s="14"/>
      <c r="D20" s="14"/>
      <c r="E20" s="14"/>
      <c r="F20" s="14"/>
      <c r="G20" s="14"/>
      <c r="H20" s="21"/>
    </row>
    <row r="21" spans="1:8">
      <c r="B21" s="22"/>
      <c r="C21" s="14"/>
      <c r="D21" s="14"/>
      <c r="E21" s="14"/>
      <c r="F21" s="14"/>
      <c r="G21" s="14"/>
      <c r="H2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J_3_6</vt:lpstr>
      <vt:lpstr>J_2_5</vt:lpstr>
      <vt:lpstr>J_2_5_Bolt</vt:lpstr>
      <vt:lpstr>calc_check</vt:lpstr>
      <vt:lpstr>J25_new</vt:lpstr>
      <vt:lpstr>J(2,3)_add_drop</vt:lpstr>
      <vt:lpstr>J23_AD_Multi</vt:lpstr>
      <vt:lpstr>JM23_Rstr</vt:lpstr>
      <vt:lpstr>Sheet1</vt:lpstr>
      <vt:lpstr>JM33_Rest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2026-03-18T04:58:21Z</dcterms:created>
  <dcterms:modified xsi:type="dcterms:W3CDTF">2026-05-04T08:08:25Z</dcterms:modified>
</cp:coreProperties>
</file>