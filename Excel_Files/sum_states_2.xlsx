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1947793_adelaide_edu_au/Documents/JugglingProject_Bukhari_SyedUzairShah_a1947793/Excel_Files/"/>
    </mc:Choice>
  </mc:AlternateContent>
  <xr:revisionPtr revIDLastSave="132" documentId="8_{904477D2-7475-DB46-AB97-1B1480DED8CA}" xr6:coauthVersionLast="47" xr6:coauthVersionMax="47" xr10:uidLastSave="{2CBCB46C-5F6D-0F4D-8912-91B8807CEF32}"/>
  <bookViews>
    <workbookView xWindow="1100" yWindow="900" windowWidth="28040" windowHeight="17180" activeTab="6" xr2:uid="{2BF0295C-3557-5E4A-9758-0F8E5E26ADEC}"/>
  </bookViews>
  <sheets>
    <sheet name="Sheet1" sheetId="1" state="hidden" r:id="rId1"/>
    <sheet name="Sheet3" sheetId="3" state="hidden" r:id="rId2"/>
    <sheet name="Sheet2" sheetId="2" state="hidden" r:id="rId3"/>
    <sheet name="exp 4" sheetId="4" state="hidden" r:id="rId4"/>
    <sheet name="Sheet7" sheetId="8" state="hidden" r:id="rId5"/>
    <sheet name="raw values" sheetId="6" r:id="rId6"/>
    <sheet name="summarized values" sheetId="7" r:id="rId7"/>
  </sheets>
  <calcPr calcId="191029"/>
  <pivotCaches>
    <pivotCache cacheId="16" r:id="rId8"/>
    <pivotCache cacheId="17" r:id="rId9"/>
    <pivotCache cacheId="18" r:id="rId10"/>
    <pivotCache cacheId="19" r:id="rId11"/>
    <pivotCache cacheId="20" r:id="rId12"/>
    <pivotCache cacheId="2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2" i="6" l="1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3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3" i="4"/>
  <c r="C23" i="2" a="1"/>
  <c r="C16" i="2" a="1"/>
  <c r="C9" i="2" a="1"/>
  <c r="C2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<sst xmlns="http://schemas.openxmlformats.org/spreadsheetml/2006/main" count="519" uniqueCount="145">
  <si>
    <t>Top 3</t>
  </si>
  <si>
    <t>J(&lt;=3,3,1)</t>
  </si>
  <si>
    <t>State</t>
  </si>
  <si>
    <t>"100000"</t>
  </si>
  <si>
    <t>"000000"</t>
  </si>
  <si>
    <t>"010000"</t>
  </si>
  <si>
    <t>"001000"</t>
  </si>
  <si>
    <t>"000100"</t>
  </si>
  <si>
    <t>"000010"</t>
  </si>
  <si>
    <t>"000001"</t>
  </si>
  <si>
    <t>"110000"</t>
  </si>
  <si>
    <t>"020000"</t>
  </si>
  <si>
    <t>"011000"</t>
  </si>
  <si>
    <t>"010100"</t>
  </si>
  <si>
    <t>"010010"</t>
  </si>
  <si>
    <t>"010001"</t>
  </si>
  <si>
    <t>"101000"</t>
  </si>
  <si>
    <t>"002000"</t>
  </si>
  <si>
    <t>"001100"</t>
  </si>
  <si>
    <t>"001010"</t>
  </si>
  <si>
    <t>"001001"</t>
  </si>
  <si>
    <t>"100100"</t>
  </si>
  <si>
    <t>"000200"</t>
  </si>
  <si>
    <t>"000110"</t>
  </si>
  <si>
    <t>"000101"</t>
  </si>
  <si>
    <t>"100010"</t>
  </si>
  <si>
    <t>"000020"</t>
  </si>
  <si>
    <t>"000011"</t>
  </si>
  <si>
    <t>"100001"</t>
  </si>
  <si>
    <t>"000002"</t>
  </si>
  <si>
    <t>"200000"</t>
  </si>
  <si>
    <t>"120000"</t>
  </si>
  <si>
    <t>"030000"</t>
  </si>
  <si>
    <t>"021000"</t>
  </si>
  <si>
    <t>"020100"</t>
  </si>
  <si>
    <t>"020010"</t>
  </si>
  <si>
    <t>"020001"</t>
  </si>
  <si>
    <t>"111000"</t>
  </si>
  <si>
    <t>"012000"</t>
  </si>
  <si>
    <t>"011100"</t>
  </si>
  <si>
    <t>"011010"</t>
  </si>
  <si>
    <t>"011001"</t>
  </si>
  <si>
    <t>"110100"</t>
  </si>
  <si>
    <t>"010200"</t>
  </si>
  <si>
    <t>"010110"</t>
  </si>
  <si>
    <t>"010101"</t>
  </si>
  <si>
    <t>"110010"</t>
  </si>
  <si>
    <t>"010020"</t>
  </si>
  <si>
    <t>"010011"</t>
  </si>
  <si>
    <t>"110001"</t>
  </si>
  <si>
    <t>"010002"</t>
  </si>
  <si>
    <t>"102000"</t>
  </si>
  <si>
    <t>"003000"</t>
  </si>
  <si>
    <t>"002100"</t>
  </si>
  <si>
    <t>"002010"</t>
  </si>
  <si>
    <t>"002001"</t>
  </si>
  <si>
    <t>"101100"</t>
  </si>
  <si>
    <t>"001200"</t>
  </si>
  <si>
    <t>"001110"</t>
  </si>
  <si>
    <t>"001101"</t>
  </si>
  <si>
    <t>"101010"</t>
  </si>
  <si>
    <t>"001020"</t>
  </si>
  <si>
    <t>"001011"</t>
  </si>
  <si>
    <t>"101001"</t>
  </si>
  <si>
    <t>"001002"</t>
  </si>
  <si>
    <t>"100200"</t>
  </si>
  <si>
    <t>"000300"</t>
  </si>
  <si>
    <t>"000210"</t>
  </si>
  <si>
    <t>"000201"</t>
  </si>
  <si>
    <t>"100110"</t>
  </si>
  <si>
    <t>"000120"</t>
  </si>
  <si>
    <t>"000111"</t>
  </si>
  <si>
    <t>"100101"</t>
  </si>
  <si>
    <t>"000102"</t>
  </si>
  <si>
    <t>"100020"</t>
  </si>
  <si>
    <t>"000030"</t>
  </si>
  <si>
    <t>"000021"</t>
  </si>
  <si>
    <t>"100011"</t>
  </si>
  <si>
    <t>"000012"</t>
  </si>
  <si>
    <t>"100002"</t>
  </si>
  <si>
    <t>"000003"</t>
  </si>
  <si>
    <t>"300000"</t>
  </si>
  <si>
    <t>"210000"</t>
  </si>
  <si>
    <t>"201000"</t>
  </si>
  <si>
    <t>"200100"</t>
  </si>
  <si>
    <t>"200010"</t>
  </si>
  <si>
    <t>"200001"</t>
  </si>
  <si>
    <t>J(&lt;=3,6,1)</t>
  </si>
  <si>
    <r>
      <t>"100"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"300"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"030"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"003"</t>
    </r>
  </si>
  <si>
    <t>"100"</t>
  </si>
  <si>
    <t>"000"</t>
  </si>
  <si>
    <t>"010"</t>
  </si>
  <si>
    <t>"001"</t>
  </si>
  <si>
    <t>"200"</t>
  </si>
  <si>
    <t>"110"</t>
  </si>
  <si>
    <t>"101"</t>
  </si>
  <si>
    <t>"020"</t>
  </si>
  <si>
    <t>"011"</t>
  </si>
  <si>
    <t>"002"</t>
  </si>
  <si>
    <t>"300"</t>
  </si>
  <si>
    <t>"210"</t>
  </si>
  <si>
    <t>"201"</t>
  </si>
  <si>
    <t>"120"</t>
  </si>
  <si>
    <t>"111"</t>
  </si>
  <si>
    <t>"102"</t>
  </si>
  <si>
    <t>"030"</t>
  </si>
  <si>
    <t>"021"</t>
  </si>
  <si>
    <t>"012"</t>
  </si>
  <si>
    <t>"003"</t>
  </si>
  <si>
    <t>J(&lt;=3,3,2)</t>
  </si>
  <si>
    <t>J(&lt;=3,3,3)</t>
  </si>
  <si>
    <r>
      <t>"100"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"030"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"003"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"300"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"201"</t>
    </r>
  </si>
  <si>
    <t>System</t>
  </si>
  <si>
    <t>Top</t>
  </si>
  <si>
    <t>Bottom</t>
  </si>
  <si>
    <t>Sim Probs</t>
  </si>
  <si>
    <r>
      <t>"100000"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"011000"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"101000"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"002000"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"000200"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"000110"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"000101"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"120000"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"030000"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"021000"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"020100"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"020010"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"020001"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"111000"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"012000"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"011100"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"011010"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"011001"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"110100"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"010200"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"010110"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"010101"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"110010"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"010020"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"010011"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"110001"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"010002"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"102000"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"003000"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"002100"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"002010"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"002001"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"101100"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"001200"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"001110"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"001101"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"101010"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"001020"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"001011"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"101001"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"001002"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"100200"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"000300"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"000210"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"000201"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"100110"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"000120"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"000111"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"100101"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"000102"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"100020"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"000030"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"000021"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"100011"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"000012"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"100002"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"000003"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"300000"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"210000"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"201000"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"200100"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"200010"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"200001"</t>
    </r>
  </si>
  <si>
    <t>J(1b6h)</t>
  </si>
  <si>
    <t>J(2b3h)</t>
  </si>
  <si>
    <t>J(3b3h)</t>
  </si>
  <si>
    <r>
      <t>"100"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"210"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"120"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"111"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"030"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"021"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"012"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"201"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"102"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"003"</t>
    </r>
    <r>
      <rPr>
        <sz val="13"/>
        <color theme="1"/>
        <rFont val="Menlo"/>
        <family val="2"/>
      </rPr>
      <t xml:space="preserve"> </t>
    </r>
    <r>
      <rPr>
        <sz val="13"/>
        <color rgb="FFA709F5"/>
        <rFont val="Menlo"/>
        <family val="2"/>
      </rPr>
      <t>"300"</t>
    </r>
  </si>
  <si>
    <t>J(1b3h)</t>
  </si>
  <si>
    <t>Top 1st</t>
  </si>
  <si>
    <t>Top 2nd</t>
  </si>
  <si>
    <t>Top 3rd</t>
  </si>
  <si>
    <t>Bottom 3rd</t>
  </si>
  <si>
    <t>Bottom 2nd</t>
  </si>
  <si>
    <t>Bottom 1st</t>
  </si>
  <si>
    <t>Prob</t>
  </si>
  <si>
    <t xml:space="preserve">Starting with </t>
  </si>
  <si>
    <t>Row Labels</t>
  </si>
  <si>
    <t>"0</t>
  </si>
  <si>
    <t>"1</t>
  </si>
  <si>
    <t>"2</t>
  </si>
  <si>
    <t>"3</t>
  </si>
  <si>
    <t>Grand Total</t>
  </si>
  <si>
    <t>Sum of Prob</t>
  </si>
  <si>
    <t>Starting With</t>
  </si>
  <si>
    <t xml:space="preserve">Probabilities vs Number of Trucks Arriving at Hub </t>
  </si>
  <si>
    <t>Experiment 2</t>
  </si>
  <si>
    <t>Experiment 1</t>
  </si>
  <si>
    <t>Experiment 3</t>
  </si>
  <si>
    <t>Experiment 4</t>
  </si>
  <si>
    <t>Simultaneous Arrival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</si>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</sst>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2"/>
      <color theme="1"/>
      <name val="Aptos Narrow"/>
      <family val="2"/>
      <scheme val="minor"/>
    </font>
    <font>
      <sz val="13"/>
      <color theme="1"/>
      <name val="Menlo"/>
      <family val="2"/>
    </font>
    <font>
      <sz val="13"/>
      <color rgb="FFA709F5"/>
      <name val="Menlo"/>
      <family val="2"/>
    </font>
    <font>
      <sz val="12"/>
      <color rgb="FF000000"/>
      <name val="Aptos Narrow"/>
      <family val="2"/>
      <scheme val="minor"/>
    </font>
    <font>
      <sz val="14"/>
      <color rgb="FF59595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0" borderId="0" xfId="0" applyFont="1" applyAlignment="1">
      <alignment horizontal="center" vertical="center" readingOrder="1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Probabilities</a:t>
            </a:r>
            <a:r>
              <a:rPr lang="en-US" baseline="0"/>
              <a:t> of Simultaneous Arrival of Trucks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'summarized values'!$E$1</c:f>
              <c:strCache>
                <c:ptCount val="1"/>
                <c:pt idx="0">
                  <c:v>Experiment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'summarized values'!$D$2:$D$5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'summarized values'!$E$2:$E$5</c:f>
              <c:numCache>
                <c:formatCode>0.0000</c:formatCode>
                <c:ptCount val="4"/>
                <c:pt idx="0">
                  <c:v>0.28722328333333397</c:v>
                </c:pt>
                <c:pt idx="1">
                  <c:v>0.39399221666666701</c:v>
                </c:pt>
                <c:pt idx="2">
                  <c:v>0.25777458333333403</c:v>
                </c:pt>
                <c:pt idx="3">
                  <c:v>6.1009916666666997E-2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5-D444-8BF1-864BA7A7665D}"/>
            </c:ext>
          </c:extLst>
        </c:ser>
        <c:ser>
          <c:idx val="1"/>
          <c:order val="1"/>
          <c:tx>
            <c:strRef>
              <c:f>'summarized values'!$F$1</c:f>
              <c:strCache>
                <c:ptCount val="1"/>
                <c:pt idx="0">
                  <c:v>Experiment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'summarized values'!$D$2:$D$5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'summarized values'!$F$2:$F$5</c:f>
              <c:numCache>
                <c:formatCode>0.0000</c:formatCode>
                <c:ptCount val="4"/>
                <c:pt idx="0">
                  <c:v>0.31595474999999995</c:v>
                </c:pt>
                <c:pt idx="1">
                  <c:v>0.39015898333333399</c:v>
                </c:pt>
                <c:pt idx="2">
                  <c:v>0.22350369999999997</c:v>
                </c:pt>
                <c:pt idx="3">
                  <c:v>7.0382566666667007E-2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75-D444-8BF1-864BA7A7665D}"/>
            </c:ext>
          </c:extLst>
        </c:ser>
        <c:ser>
          <c:idx val="2"/>
          <c:order val="2"/>
          <c:tx>
            <c:strRef>
              <c:f>'summarized values'!$G$1</c:f>
              <c:strCache>
                <c:ptCount val="1"/>
                <c:pt idx="0">
                  <c:v>Experiment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'summarized values'!$D$2:$D$5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'summarized values'!$G$2:$G$5</c:f>
              <c:numCache>
                <c:formatCode>0.0000</c:formatCode>
                <c:ptCount val="4"/>
                <c:pt idx="0">
                  <c:v>0.33871326666666701</c:v>
                </c:pt>
                <c:pt idx="1">
                  <c:v>0.36107088333333398</c:v>
                </c:pt>
                <c:pt idx="2">
                  <c:v>0.21942626666666601</c:v>
                </c:pt>
                <c:pt idx="3">
                  <c:v>8.0789583333332998E-2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5-D444-8BF1-864BA7A7665D}"/>
            </c:ext>
          </c:extLst>
        </c:ser>
        <c:ser>
          <c:idx val="3"/>
          <c:order val="3"/>
          <c:tx>
            <c:strRef>
              <c:f>'summarized values'!$H$1</c:f>
              <c:strCache>
                <c:ptCount val="1"/>
                <c:pt idx="0">
                  <c:v>Experiment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'summarized values'!$D$2:$D$5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'summarized values'!$H$2:$H$5</c:f>
              <c:numCache>
                <c:formatCode>0.0000</c:formatCode>
                <c:ptCount val="4"/>
                <c:pt idx="0">
                  <c:v>0.34041754365079496</c:v>
                </c:pt>
                <c:pt idx="1">
                  <c:v>0.43577861111111299</c:v>
                </c:pt>
                <c:pt idx="2">
                  <c:v>0.19872507936507999</c:v>
                </c:pt>
                <c:pt idx="3">
                  <c:v>2.5078765873015999E-2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75-D444-8BF1-864BA7A76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0657791"/>
        <c:axId val="2110659135"/>
      </c:barChart>
      <c:catAx>
        <c:axId val="211065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59135"/>
        <c:crosses val="autoZero"/>
        <c:auto val="1"/>
        <c:lblAlgn val="ctr"/>
        <c:lblOffset val="100"/>
        <c:noMultiLvlLbl val="0"/>
      </c:catAx>
      <c:valAx>
        <c:axId val="211065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65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365760</xdr:colOff>
      <xdr:row>17</xdr:row>
      <xdr:rowOff>45720</xdr:rowOff>
    </xdr:from>
    <xdr:to>
      <xdr:col>6</xdr:col>
      <xdr:colOff>904240</xdr:colOff>
      <xdr:row>30</xdr:row>
      <xdr:rowOff>147320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B047B4-58D5-5065-575D-7FFBFFE3A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35.708274074073" createdVersion="8" refreshedVersion="8" minRefreshableVersion="3" recordCount="84" xr:uid="{505BEF68-DF0E-6941-AFD9-E9B2651D570E}">
  <cacheSource type="worksheet">
    <worksheetSource ref="C2:D86" sheet="exp 4"/>
  </cacheSource>
  <cacheFields count="2">
    <cacheField name="Prob" numFmtId="0">
      <sharedItems containsSemiMixedTypes="0" containsString="0" containsNumber="1" minValue="3.4654761904999998E-5" maxValue="5.8926912698412999E-2"/>
    </cacheField>
    <cacheField name="Starting with " numFmtId="0">
      <sharedItems count="4">
        <s v="&quot;1"/>
        <s v="&quot;0"/>
        <s v="&quot;2"/>
        <s v="&quot;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35.712437037037" createdVersion="8" refreshedVersion="8" minRefreshableVersion="3" recordCount="20" xr:uid="{1852F765-E73D-FE40-B217-24C6A55D4B6A}">
  <cacheSource type="worksheet">
    <worksheetSource ref="C2:D22" sheet="raw values"/>
  </cacheSource>
  <cacheFields count="2">
    <cacheField name="Prob" numFmtId="0">
      <sharedItems containsSemiMixedTypes="0" containsString="0" containsNumber="1" minValue="1.2636666666667001E-2" maxValue="0.10173998333333301"/>
    </cacheField>
    <cacheField name="Starting With" numFmtId="0">
      <sharedItems count="4">
        <s v="&quot;1"/>
        <s v="&quot;0"/>
        <s v="&quot;2"/>
        <s v="&quot;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35.71262395833" createdVersion="8" refreshedVersion="8" minRefreshableVersion="3" recordCount="20" xr:uid="{C4F35A6B-B681-1342-96F0-590E7B30AFAF}">
  <cacheSource type="worksheet">
    <worksheetSource ref="G2:H22" sheet="raw values"/>
  </cacheSource>
  <cacheFields count="2">
    <cacheField name="Prob" numFmtId="0">
      <sharedItems containsSemiMixedTypes="0" containsString="0" containsNumber="1" minValue="6.7728833333329996E-3" maxValue="9.8937766666666996E-2"/>
    </cacheField>
    <cacheField name="Starting With" numFmtId="0">
      <sharedItems count="4">
        <s v="&quot;1"/>
        <s v="&quot;0"/>
        <s v="&quot;2"/>
        <s v="&quot;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35.71296203704" createdVersion="8" refreshedVersion="8" minRefreshableVersion="3" recordCount="20" xr:uid="{CA5F6DE5-CEA2-4E45-B954-94BF3111559B}">
  <cacheSource type="worksheet">
    <worksheetSource ref="K2:L22" sheet="raw values"/>
  </cacheSource>
  <cacheFields count="2">
    <cacheField name="Prob" numFmtId="0">
      <sharedItems containsSemiMixedTypes="0" containsString="0" containsNumber="1" minValue="2.4526999999999999E-3" maxValue="0.12757165000000001"/>
    </cacheField>
    <cacheField name="Starting With" numFmtId="0">
      <sharedItems count="4">
        <s v="&quot;1"/>
        <s v="&quot;0"/>
        <s v="&quot;2"/>
        <s v="&quot;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35.713274652779" createdVersion="8" refreshedVersion="8" minRefreshableVersion="3" recordCount="84" xr:uid="{A13CE6C0-AE51-544C-AEBA-6B56953E6821}">
  <cacheSource type="worksheet">
    <worksheetSource ref="O2:P86" sheet="raw values"/>
  </cacheSource>
  <cacheFields count="2">
    <cacheField name="Prob" numFmtId="0">
      <sharedItems containsSemiMixedTypes="0" containsString="0" containsNumber="1" minValue="3.4654761904999998E-5" maxValue="5.8926912698412999E-2"/>
    </cacheField>
    <cacheField name="Starting With" numFmtId="0">
      <sharedItems count="4">
        <s v="&quot;1"/>
        <s v="&quot;0"/>
        <s v="&quot;2"/>
        <s v="&quot;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UZAIR SHAH BUKHARI - 15020" refreshedDate="46235.724416435187" createdVersion="8" refreshedVersion="8" minRefreshableVersion="3" recordCount="4" xr:uid="{85979681-CD81-7D49-8B4B-F3FFD2594E35}">
  <cacheSource type="worksheet">
    <worksheetSource ref="D1:H5" sheet="summarized values"/>
  </cacheSource>
  <cacheFields count="5">
    <cacheField name="Simultaneous Arrival" numFmtId="0">
      <sharedItems containsSemiMixedTypes="0" containsString="0" containsNumber="1" containsInteger="1" minValue="0" maxValue="3"/>
    </cacheField>
    <cacheField name="Experiment 1" numFmtId="164">
      <sharedItems containsSemiMixedTypes="0" containsString="0" containsNumber="1" minValue="6.1009916666666997E-2" maxValue="0.39399221666666701" count="4">
        <n v="0.28722328333333397"/>
        <n v="0.39399221666666701"/>
        <n v="0.25777458333333403"/>
        <n v="6.1009916666666997E-2"/>
      </sharedItems>
    </cacheField>
    <cacheField name="Experiment 2" numFmtId="164">
      <sharedItems containsSemiMixedTypes="0" containsString="0" containsNumber="1" minValue="7.0382566666667007E-2" maxValue="0.39015898333333399" count="4">
        <n v="0.31595474999999995"/>
        <n v="0.39015898333333399"/>
        <n v="0.22350369999999997"/>
        <n v="7.0382566666667007E-2"/>
      </sharedItems>
    </cacheField>
    <cacheField name="Experiment 3" numFmtId="164">
      <sharedItems containsSemiMixedTypes="0" containsString="0" containsNumber="1" minValue="8.0789583333332998E-2" maxValue="0.36107088333333398"/>
    </cacheField>
    <cacheField name="Experiment 4" numFmtId="164">
      <sharedItems containsSemiMixedTypes="0" containsString="0" containsNumber="1" minValue="2.5078765873015999E-2" maxValue="0.43577861111111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1.0266182539683E-2"/>
    <x v="0"/>
  </r>
  <r>
    <n v="1.713738095238E-3"/>
    <x v="1"/>
  </r>
  <r>
    <n v="5.9121031746029997E-3"/>
    <x v="1"/>
  </r>
  <r>
    <n v="5.1132103174600001E-3"/>
    <x v="1"/>
  </r>
  <r>
    <n v="4.2169761904760003E-3"/>
    <x v="1"/>
  </r>
  <r>
    <n v="3.0882499999999998E-3"/>
    <x v="1"/>
  </r>
  <r>
    <n v="1.709285714286E-3"/>
    <x v="1"/>
  </r>
  <r>
    <n v="2.8773158730158999E-2"/>
    <x v="0"/>
  </r>
  <r>
    <n v="8.4937896825400001E-3"/>
    <x v="1"/>
  </r>
  <r>
    <n v="1.4275380952380999E-2"/>
    <x v="1"/>
  </r>
  <r>
    <n v="1.140973015873E-2"/>
    <x v="1"/>
  </r>
  <r>
    <n v="8.1297658730160004E-3"/>
    <x v="1"/>
  </r>
  <r>
    <n v="4.5596190476189999E-3"/>
    <x v="1"/>
  </r>
  <r>
    <n v="2.4276285714286E-2"/>
    <x v="0"/>
  </r>
  <r>
    <n v="5.9169166666669997E-3"/>
    <x v="1"/>
  </r>
  <r>
    <n v="9.4718531746029993E-3"/>
    <x v="1"/>
  </r>
  <r>
    <n v="6.7353253968250003E-3"/>
    <x v="1"/>
  </r>
  <r>
    <n v="3.7763928571430002E-3"/>
    <x v="1"/>
  </r>
  <r>
    <n v="1.9578134920634999E-2"/>
    <x v="0"/>
  </r>
  <r>
    <n v="3.676023809524E-3"/>
    <x v="1"/>
  </r>
  <r>
    <n v="5.1752460317459996E-3"/>
    <x v="1"/>
  </r>
  <r>
    <n v="2.9162896825400001E-3"/>
    <x v="1"/>
  </r>
  <r>
    <n v="1.4447519841270001E-2"/>
    <x v="0"/>
  </r>
  <r>
    <n v="1.6192380952380001E-3"/>
    <x v="1"/>
  </r>
  <r>
    <n v="1.822083333333E-3"/>
    <x v="1"/>
  </r>
  <r>
    <n v="7.9444404761899994E-3"/>
    <x v="0"/>
  </r>
  <r>
    <n v="2.43111111111E-4"/>
    <x v="1"/>
  </r>
  <r>
    <n v="2.5183051587302E-2"/>
    <x v="2"/>
  </r>
  <r>
    <n v="3.6253488095237998E-2"/>
    <x v="0"/>
  </r>
  <r>
    <n v="8.8321547619049992E-3"/>
    <x v="1"/>
  </r>
  <r>
    <n v="2.1516218253968E-2"/>
    <x v="1"/>
  </r>
  <r>
    <n v="1.6236452380952001E-2"/>
    <x v="1"/>
  </r>
  <r>
    <n v="1.0656416666667E-2"/>
    <x v="1"/>
  </r>
  <r>
    <n v="5.1995317460320004E-3"/>
    <x v="1"/>
  </r>
  <r>
    <n v="5.8926912698412999E-2"/>
    <x v="0"/>
  </r>
  <r>
    <n v="1.7000353174603001E-2"/>
    <x v="1"/>
  </r>
  <r>
    <n v="2.5688761904761999E-2"/>
    <x v="1"/>
  </r>
  <r>
    <n v="1.7020738095237999E-2"/>
    <x v="1"/>
  </r>
  <r>
    <n v="8.3268611111110002E-3"/>
    <x v="1"/>
  </r>
  <r>
    <n v="4.4847730158729997E-2"/>
    <x v="0"/>
  </r>
  <r>
    <n v="9.2538968253970001E-3"/>
    <x v="1"/>
  </r>
  <r>
    <n v="1.2353968253967999E-2"/>
    <x v="1"/>
  </r>
  <r>
    <n v="6.1642222222219999E-3"/>
    <x v="1"/>
  </r>
  <r>
    <n v="3.0385432539683E-2"/>
    <x v="0"/>
  </r>
  <r>
    <n v="3.6801071428569998E-3"/>
    <x v="1"/>
  </r>
  <r>
    <n v="3.7756785714289998E-3"/>
    <x v="1"/>
  </r>
  <r>
    <n v="1.5345075396825E-2"/>
    <x v="0"/>
  </r>
  <r>
    <n v="6.8632936507899997E-4"/>
    <x v="1"/>
  </r>
  <r>
    <n v="2.3360900793651E-2"/>
    <x v="0"/>
  </r>
  <r>
    <n v="4.2830595238100002E-3"/>
    <x v="1"/>
  </r>
  <r>
    <n v="9.8261785714289993E-3"/>
    <x v="1"/>
  </r>
  <r>
    <n v="6.6025277777780004E-3"/>
    <x v="1"/>
  </r>
  <r>
    <n v="3.241920634921E-3"/>
    <x v="1"/>
  </r>
  <r>
    <n v="3.5681781746032003E-2"/>
    <x v="0"/>
  </r>
  <r>
    <n v="7.1459761904759996E-3"/>
    <x v="1"/>
  </r>
  <r>
    <n v="9.5786944444439994E-3"/>
    <x v="1"/>
  </r>
  <r>
    <n v="4.8518928571429998E-3"/>
    <x v="1"/>
  </r>
  <r>
    <n v="2.4238845238095E-2"/>
    <x v="0"/>
  </r>
  <r>
    <n v="2.8540634920630002E-3"/>
    <x v="1"/>
  </r>
  <r>
    <n v="2.9737777777779999E-3"/>
    <x v="1"/>
  </r>
  <r>
    <n v="1.1931777777777999E-2"/>
    <x v="0"/>
  </r>
  <r>
    <n v="5.7465079365099996E-4"/>
    <x v="1"/>
  </r>
  <r>
    <n v="1.3028603174603E-2"/>
    <x v="0"/>
  </r>
  <r>
    <n v="1.5753849206350001E-3"/>
    <x v="1"/>
  </r>
  <r>
    <n v="3.224591269841E-3"/>
    <x v="1"/>
  </r>
  <r>
    <n v="1.7190158730159999E-3"/>
    <x v="1"/>
  </r>
  <r>
    <n v="1.7769123015872999E-2"/>
    <x v="0"/>
  </r>
  <r>
    <n v="1.9555238095240002E-3"/>
    <x v="1"/>
  </r>
  <r>
    <n v="2.0942380952380002E-3"/>
    <x v="1"/>
  </r>
  <r>
    <n v="8.4658809523810007E-3"/>
    <x v="0"/>
  </r>
  <r>
    <n v="4.5141269841300001E-4"/>
    <x v="1"/>
  </r>
  <r>
    <n v="5.44580952381E-3"/>
    <x v="0"/>
  </r>
  <r>
    <n v="2.7117460317500002E-4"/>
    <x v="1"/>
  </r>
  <r>
    <n v="4.9800793650800002E-4"/>
    <x v="1"/>
  </r>
  <r>
    <n v="4.7765912698410004E-3"/>
    <x v="0"/>
  </r>
  <r>
    <n v="2.9477777777800002E-4"/>
    <x v="1"/>
  </r>
  <r>
    <n v="3.4936507937000002E-5"/>
    <x v="0"/>
  </r>
  <r>
    <n v="3.4654761904999998E-5"/>
    <x v="1"/>
  </r>
  <r>
    <n v="2.5078765873015999E-2"/>
    <x v="3"/>
  </r>
  <r>
    <n v="5.2446591269840998E-2"/>
    <x v="2"/>
  </r>
  <r>
    <n v="4.3906797619047998E-2"/>
    <x v="2"/>
  </r>
  <r>
    <n v="3.4959857142857001E-2"/>
    <x v="2"/>
  </r>
  <r>
    <n v="2.5963678571428998E-2"/>
    <x v="2"/>
  </r>
  <r>
    <n v="1.6265103174603002E-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6.7345266666667E-2"/>
    <x v="0"/>
  </r>
  <r>
    <n v="3.01581E-2"/>
    <x v="1"/>
  </r>
  <r>
    <n v="4.9363133333332997E-2"/>
    <x v="1"/>
  </r>
  <r>
    <n v="3.0168116666667001E-2"/>
    <x v="1"/>
  </r>
  <r>
    <n v="7.7759883333333002E-2"/>
    <x v="2"/>
  </r>
  <r>
    <n v="8.8309600000000002E-2"/>
    <x v="0"/>
  </r>
  <r>
    <n v="4.8571633333333003E-2"/>
    <x v="0"/>
  </r>
  <r>
    <n v="4.4188699999999997E-2"/>
    <x v="1"/>
  </r>
  <r>
    <n v="3.7419116666667002E-2"/>
    <x v="1"/>
  </r>
  <r>
    <n v="1.6344299999999999E-2"/>
    <x v="1"/>
  </r>
  <r>
    <n v="8.0789583333332998E-2"/>
    <x v="3"/>
  </r>
  <r>
    <n v="0.10173998333333301"/>
    <x v="2"/>
  </r>
  <r>
    <n v="3.9926400000000001E-2"/>
    <x v="2"/>
  </r>
  <r>
    <n v="8.4658916666667E-2"/>
    <x v="0"/>
  </r>
  <r>
    <n v="4.9339916666666997E-2"/>
    <x v="0"/>
  </r>
  <r>
    <n v="2.2845549999999999E-2"/>
    <x v="0"/>
  </r>
  <r>
    <n v="4.3915683333332997E-2"/>
    <x v="1"/>
  </r>
  <r>
    <n v="4.3585649999999997E-2"/>
    <x v="1"/>
  </r>
  <r>
    <n v="3.0933800000000001E-2"/>
    <x v="1"/>
  </r>
  <r>
    <n v="1.2636666666667001E-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7.7861866666667001E-2"/>
    <x v="0"/>
  </r>
  <r>
    <n v="3.105525E-2"/>
    <x v="1"/>
  </r>
  <r>
    <n v="5.2285083333333003E-2"/>
    <x v="1"/>
  </r>
  <r>
    <n v="3.1050766666667E-2"/>
    <x v="1"/>
  </r>
  <r>
    <n v="8.4723049999999994E-2"/>
    <x v="2"/>
  </r>
  <r>
    <n v="9.8937766666666996E-2"/>
    <x v="0"/>
  </r>
  <r>
    <n v="5.6343200000000003E-2"/>
    <x v="0"/>
  </r>
  <r>
    <n v="4.4519450000000002E-2"/>
    <x v="1"/>
  </r>
  <r>
    <n v="3.8056133333332999E-2"/>
    <x v="1"/>
  </r>
  <r>
    <n v="1.4670216666666999E-2"/>
    <x v="1"/>
  </r>
  <r>
    <n v="9.8407549999999996E-2"/>
    <x v="2"/>
  </r>
  <r>
    <n v="8.1658066666667001E-2"/>
    <x v="0"/>
  </r>
  <r>
    <n v="5.1685500000000002E-2"/>
    <x v="0"/>
  </r>
  <r>
    <n v="3.3079049999999999E-2"/>
    <x v="1"/>
  </r>
  <r>
    <n v="3.890805E-2"/>
    <x v="1"/>
  </r>
  <r>
    <n v="2.5557866666667001E-2"/>
    <x v="1"/>
  </r>
  <r>
    <n v="4.0373100000000002E-2"/>
    <x v="2"/>
  </r>
  <r>
    <n v="2.3672583333333001E-2"/>
    <x v="0"/>
  </r>
  <r>
    <n v="6.7728833333329996E-3"/>
    <x v="1"/>
  </r>
  <r>
    <n v="7.0382566666667007E-2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0.11784654999999999"/>
    <x v="0"/>
  </r>
  <r>
    <n v="3.9258300000000003E-2"/>
    <x v="1"/>
  </r>
  <r>
    <n v="6.7007816666666997E-2"/>
    <x v="1"/>
  </r>
  <r>
    <n v="3.9279649999999999E-2"/>
    <x v="1"/>
  </r>
  <r>
    <n v="0.12757165000000001"/>
    <x v="0"/>
  </r>
  <r>
    <n v="3.7721816666666998E-2"/>
    <x v="1"/>
  </r>
  <r>
    <n v="4.4457183333332997E-2"/>
    <x v="1"/>
  </r>
  <r>
    <n v="7.1675866666667004E-2"/>
    <x v="0"/>
  </r>
  <r>
    <n v="9.8001333333329992E-3"/>
    <x v="1"/>
  </r>
  <r>
    <n v="0.11980335"/>
    <x v="2"/>
  </r>
  <r>
    <n v="4.3448483333333003E-2"/>
    <x v="0"/>
  </r>
  <r>
    <n v="1.2526000000000001E-2"/>
    <x v="1"/>
  </r>
  <r>
    <n v="2.1152966666667002E-2"/>
    <x v="1"/>
  </r>
  <r>
    <n v="3.0996966666667E-2"/>
    <x v="0"/>
  </r>
  <r>
    <n v="1.356185E-2"/>
    <x v="1"/>
  </r>
  <r>
    <n v="2.4526999999999999E-3"/>
    <x v="0"/>
  </r>
  <r>
    <n v="2.4575666666669998E-3"/>
    <x v="1"/>
  </r>
  <r>
    <n v="6.1009916666666997E-2"/>
    <x v="3"/>
  </r>
  <r>
    <n v="8.9460066666667004E-2"/>
    <x v="2"/>
  </r>
  <r>
    <n v="4.8511166666667001E-2"/>
    <x v="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1.0266182539683E-2"/>
    <x v="0"/>
  </r>
  <r>
    <n v="1.713738095238E-3"/>
    <x v="1"/>
  </r>
  <r>
    <n v="5.9121031746029997E-3"/>
    <x v="1"/>
  </r>
  <r>
    <n v="5.1132103174600001E-3"/>
    <x v="1"/>
  </r>
  <r>
    <n v="4.2169761904760003E-3"/>
    <x v="1"/>
  </r>
  <r>
    <n v="3.0882499999999998E-3"/>
    <x v="1"/>
  </r>
  <r>
    <n v="1.709285714286E-3"/>
    <x v="1"/>
  </r>
  <r>
    <n v="2.8773158730158999E-2"/>
    <x v="0"/>
  </r>
  <r>
    <n v="8.4937896825400001E-3"/>
    <x v="1"/>
  </r>
  <r>
    <n v="1.4275380952380999E-2"/>
    <x v="1"/>
  </r>
  <r>
    <n v="1.140973015873E-2"/>
    <x v="1"/>
  </r>
  <r>
    <n v="8.1297658730160004E-3"/>
    <x v="1"/>
  </r>
  <r>
    <n v="4.5596190476189999E-3"/>
    <x v="1"/>
  </r>
  <r>
    <n v="2.4276285714286E-2"/>
    <x v="0"/>
  </r>
  <r>
    <n v="5.9169166666669997E-3"/>
    <x v="1"/>
  </r>
  <r>
    <n v="9.4718531746029993E-3"/>
    <x v="1"/>
  </r>
  <r>
    <n v="6.7353253968250003E-3"/>
    <x v="1"/>
  </r>
  <r>
    <n v="3.7763928571430002E-3"/>
    <x v="1"/>
  </r>
  <r>
    <n v="1.9578134920634999E-2"/>
    <x v="0"/>
  </r>
  <r>
    <n v="3.676023809524E-3"/>
    <x v="1"/>
  </r>
  <r>
    <n v="5.1752460317459996E-3"/>
    <x v="1"/>
  </r>
  <r>
    <n v="2.9162896825400001E-3"/>
    <x v="1"/>
  </r>
  <r>
    <n v="1.4447519841270001E-2"/>
    <x v="0"/>
  </r>
  <r>
    <n v="1.6192380952380001E-3"/>
    <x v="1"/>
  </r>
  <r>
    <n v="1.822083333333E-3"/>
    <x v="1"/>
  </r>
  <r>
    <n v="7.9444404761899994E-3"/>
    <x v="0"/>
  </r>
  <r>
    <n v="2.43111111111E-4"/>
    <x v="1"/>
  </r>
  <r>
    <n v="2.5183051587302E-2"/>
    <x v="2"/>
  </r>
  <r>
    <n v="3.6253488095237998E-2"/>
    <x v="0"/>
  </r>
  <r>
    <n v="8.8321547619049992E-3"/>
    <x v="1"/>
  </r>
  <r>
    <n v="2.1516218253968E-2"/>
    <x v="1"/>
  </r>
  <r>
    <n v="1.6236452380952001E-2"/>
    <x v="1"/>
  </r>
  <r>
    <n v="1.0656416666667E-2"/>
    <x v="1"/>
  </r>
  <r>
    <n v="5.1995317460320004E-3"/>
    <x v="1"/>
  </r>
  <r>
    <n v="5.8926912698412999E-2"/>
    <x v="0"/>
  </r>
  <r>
    <n v="1.7000353174603001E-2"/>
    <x v="1"/>
  </r>
  <r>
    <n v="2.5688761904761999E-2"/>
    <x v="1"/>
  </r>
  <r>
    <n v="1.7020738095237999E-2"/>
    <x v="1"/>
  </r>
  <r>
    <n v="8.3268611111110002E-3"/>
    <x v="1"/>
  </r>
  <r>
    <n v="4.4847730158729997E-2"/>
    <x v="0"/>
  </r>
  <r>
    <n v="9.2538968253970001E-3"/>
    <x v="1"/>
  </r>
  <r>
    <n v="1.2353968253967999E-2"/>
    <x v="1"/>
  </r>
  <r>
    <n v="6.1642222222219999E-3"/>
    <x v="1"/>
  </r>
  <r>
    <n v="3.0385432539683E-2"/>
    <x v="0"/>
  </r>
  <r>
    <n v="3.6801071428569998E-3"/>
    <x v="1"/>
  </r>
  <r>
    <n v="3.7756785714289998E-3"/>
    <x v="1"/>
  </r>
  <r>
    <n v="1.5345075396825E-2"/>
    <x v="0"/>
  </r>
  <r>
    <n v="6.8632936507899997E-4"/>
    <x v="1"/>
  </r>
  <r>
    <n v="2.3360900793651E-2"/>
    <x v="0"/>
  </r>
  <r>
    <n v="4.2830595238100002E-3"/>
    <x v="1"/>
  </r>
  <r>
    <n v="9.8261785714289993E-3"/>
    <x v="1"/>
  </r>
  <r>
    <n v="6.6025277777780004E-3"/>
    <x v="1"/>
  </r>
  <r>
    <n v="3.241920634921E-3"/>
    <x v="1"/>
  </r>
  <r>
    <n v="3.5681781746032003E-2"/>
    <x v="0"/>
  </r>
  <r>
    <n v="7.1459761904759996E-3"/>
    <x v="1"/>
  </r>
  <r>
    <n v="9.5786944444439994E-3"/>
    <x v="1"/>
  </r>
  <r>
    <n v="4.8518928571429998E-3"/>
    <x v="1"/>
  </r>
  <r>
    <n v="2.4238845238095E-2"/>
    <x v="0"/>
  </r>
  <r>
    <n v="2.8540634920630002E-3"/>
    <x v="1"/>
  </r>
  <r>
    <n v="2.9737777777779999E-3"/>
    <x v="1"/>
  </r>
  <r>
    <n v="1.1931777777777999E-2"/>
    <x v="0"/>
  </r>
  <r>
    <n v="5.7465079365099996E-4"/>
    <x v="1"/>
  </r>
  <r>
    <n v="1.3028603174603E-2"/>
    <x v="0"/>
  </r>
  <r>
    <n v="1.5753849206350001E-3"/>
    <x v="1"/>
  </r>
  <r>
    <n v="3.224591269841E-3"/>
    <x v="1"/>
  </r>
  <r>
    <n v="1.7190158730159999E-3"/>
    <x v="1"/>
  </r>
  <r>
    <n v="1.7769123015872999E-2"/>
    <x v="0"/>
  </r>
  <r>
    <n v="1.9555238095240002E-3"/>
    <x v="1"/>
  </r>
  <r>
    <n v="2.0942380952380002E-3"/>
    <x v="1"/>
  </r>
  <r>
    <n v="8.4658809523810007E-3"/>
    <x v="0"/>
  </r>
  <r>
    <n v="4.5141269841300001E-4"/>
    <x v="1"/>
  </r>
  <r>
    <n v="5.44580952381E-3"/>
    <x v="0"/>
  </r>
  <r>
    <n v="2.7117460317500002E-4"/>
    <x v="1"/>
  </r>
  <r>
    <n v="4.9800793650800002E-4"/>
    <x v="1"/>
  </r>
  <r>
    <n v="4.7765912698410004E-3"/>
    <x v="0"/>
  </r>
  <r>
    <n v="2.9477777777800002E-4"/>
    <x v="1"/>
  </r>
  <r>
    <n v="3.4936507937000002E-5"/>
    <x v="0"/>
  </r>
  <r>
    <n v="3.4654761904999998E-5"/>
    <x v="1"/>
  </r>
  <r>
    <n v="2.5078765873015999E-2"/>
    <x v="3"/>
  </r>
  <r>
    <n v="5.2446591269840998E-2"/>
    <x v="2"/>
  </r>
  <r>
    <n v="4.3906797619047998E-2"/>
    <x v="2"/>
  </r>
  <r>
    <n v="3.4959857142857001E-2"/>
    <x v="2"/>
  </r>
  <r>
    <n v="2.5963678571428998E-2"/>
    <x v="2"/>
  </r>
  <r>
    <n v="1.6265103174603002E-2"/>
    <x v="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0"/>
    <x v="0"/>
    <x v="0"/>
    <n v="0.33871326666666701"/>
    <n v="0.34041754365079496"/>
  </r>
  <r>
    <n v="1"/>
    <x v="1"/>
    <x v="1"/>
    <n v="0.36107088333333398"/>
    <n v="0.43577861111111299"/>
  </r>
  <r>
    <n v="2"/>
    <x v="2"/>
    <x v="2"/>
    <n v="0.21942626666666601"/>
    <n v="0.19872507936507999"/>
  </r>
  <r>
    <n v="3"/>
    <x v="3"/>
    <x v="3"/>
    <n v="8.0789583333332998E-2"/>
    <n v="2.507876587301599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9AA26-79B5-6547-B249-38A3177BC80D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7:P12" firstHeaderRow="1" firstDataRow="1" firstDataCol="1"/>
  <pivotFields count="2"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b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28B6A7-71A9-EE4E-A17C-9E4DCDAF5D91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5">
    <pivotField showAll="0"/>
    <pivotField axis="axisRow" numFmtId="164" showAll="0">
      <items count="5">
        <item x="3"/>
        <item x="2"/>
        <item x="0"/>
        <item x="1"/>
        <item t="default"/>
      </items>
    </pivotField>
    <pivotField axis="axisCol" numFmtId="164" showAll="0">
      <items count="5">
        <item x="3"/>
        <item x="2"/>
        <item x="0"/>
        <item x="1"/>
        <item t="default"/>
      </items>
    </pivotField>
    <pivotField numFmtId="164" showAll="0"/>
    <pivotField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FCF17-9505-D04F-86AE-47E07925DD2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7:G32" firstHeaderRow="1" firstDataRow="1" firstDataCol="1"/>
  <pivotFields count="2"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b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480FB-5004-1F4B-B51D-F83673BED8CE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32" firstHeaderRow="1" firstDataRow="1" firstDataCol="1"/>
  <pivotFields count="2"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b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D6295-02D1-284C-BE47-F22BB7322EE1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7:S32" firstHeaderRow="1" firstDataRow="1" firstDataCol="1"/>
  <pivotFields count="2"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b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3D647-ECC2-114A-82A2-79255C7E5B8E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7:K32" firstHeaderRow="1" firstDataRow="1" firstDataCol="1"/>
  <pivotFields count="2"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b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0AEB-B15F-CC45-91EB-D1A918AB3DDE}">
  <dimension ref="A1:D25"/>
  <sheetViews>
    <sheetView workbookViewId="0">
      <selection activeCell="A20" sqref="A20"/>
    </sheetView>
  </sheetViews>
  <sheetFormatPr baseColWidth="10" defaultRowHeight="16" x14ac:dyDescent="0.2"/>
  <sheetData>
    <row r="1" spans="1:4" x14ac:dyDescent="0.2">
      <c r="B1" t="s">
        <v>2</v>
      </c>
      <c r="C1" t="s">
        <v>0</v>
      </c>
    </row>
    <row r="2" spans="1:4" x14ac:dyDescent="0.2">
      <c r="A2" t="s">
        <v>87</v>
      </c>
      <c r="B2" t="s">
        <v>37</v>
      </c>
      <c r="C2">
        <v>5.9049999999999998E-2</v>
      </c>
      <c r="D2">
        <v>1</v>
      </c>
    </row>
    <row r="3" spans="1:4" x14ac:dyDescent="0.2">
      <c r="B3" t="s">
        <v>82</v>
      </c>
      <c r="C3">
        <v>5.2130000000000003E-2</v>
      </c>
      <c r="D3">
        <v>2</v>
      </c>
    </row>
    <row r="4" spans="1:4" x14ac:dyDescent="0.2">
      <c r="B4" t="s">
        <v>42</v>
      </c>
      <c r="C4">
        <v>4.589E-2</v>
      </c>
      <c r="D4">
        <v>3</v>
      </c>
    </row>
    <row r="5" spans="1:4" x14ac:dyDescent="0.2">
      <c r="B5" t="s">
        <v>29</v>
      </c>
      <c r="C5">
        <v>2.1000000000000001E-4</v>
      </c>
      <c r="D5">
        <v>82</v>
      </c>
    </row>
    <row r="6" spans="1:4" x14ac:dyDescent="0.2">
      <c r="B6" t="s">
        <v>80</v>
      </c>
      <c r="C6">
        <v>4.0000000000000003E-5</v>
      </c>
      <c r="D6">
        <v>83</v>
      </c>
    </row>
    <row r="7" spans="1:4" x14ac:dyDescent="0.2">
      <c r="B7" t="s">
        <v>79</v>
      </c>
      <c r="C7">
        <v>2.0000000000000002E-5</v>
      </c>
      <c r="D7">
        <v>84</v>
      </c>
    </row>
    <row r="8" spans="1:4" x14ac:dyDescent="0.2">
      <c r="A8" t="s">
        <v>1</v>
      </c>
      <c r="B8" t="s">
        <v>99</v>
      </c>
      <c r="C8">
        <v>6.1550000000000001E-2</v>
      </c>
      <c r="D8">
        <v>1</v>
      </c>
    </row>
    <row r="9" spans="1:4" x14ac:dyDescent="0.2">
      <c r="B9" t="s">
        <v>100</v>
      </c>
      <c r="C9">
        <v>8.906E-2</v>
      </c>
      <c r="D9">
        <v>2</v>
      </c>
    </row>
    <row r="10" spans="1:4" x14ac:dyDescent="0.2">
      <c r="B10" t="s">
        <v>101</v>
      </c>
      <c r="C10">
        <v>4.8059999999999999E-2</v>
      </c>
      <c r="D10">
        <v>3</v>
      </c>
    </row>
    <row r="11" spans="1:4" x14ac:dyDescent="0.2">
      <c r="B11" t="s">
        <v>98</v>
      </c>
      <c r="C11">
        <v>9.7699999999999992E-3</v>
      </c>
      <c r="D11">
        <v>18</v>
      </c>
    </row>
    <row r="12" spans="1:4" x14ac:dyDescent="0.2">
      <c r="B12" t="s">
        <v>92</v>
      </c>
      <c r="C12">
        <v>3.8080000000000003E-2</v>
      </c>
      <c r="D12">
        <v>19</v>
      </c>
    </row>
    <row r="13" spans="1:4" x14ac:dyDescent="0.2">
      <c r="B13" t="s">
        <v>90</v>
      </c>
      <c r="C13">
        <v>3.9919999999999997E-2</v>
      </c>
      <c r="D13">
        <v>20</v>
      </c>
    </row>
    <row r="14" spans="1:4" x14ac:dyDescent="0.2">
      <c r="A14" s="2" t="s">
        <v>109</v>
      </c>
      <c r="B14" t="s">
        <v>94</v>
      </c>
      <c r="C14">
        <v>9.9989999999999996E-2</v>
      </c>
      <c r="D14">
        <v>1</v>
      </c>
    </row>
    <row r="15" spans="1:4" x14ac:dyDescent="0.2">
      <c r="B15" t="s">
        <v>100</v>
      </c>
      <c r="C15">
        <v>9.8400000000000001E-2</v>
      </c>
      <c r="D15">
        <v>2</v>
      </c>
    </row>
    <row r="16" spans="1:4" x14ac:dyDescent="0.2">
      <c r="B16" t="s">
        <v>93</v>
      </c>
      <c r="C16">
        <v>8.3540000000000003E-2</v>
      </c>
      <c r="D16">
        <v>3</v>
      </c>
    </row>
    <row r="17" spans="1:4" x14ac:dyDescent="0.2">
      <c r="B17" t="s">
        <v>104</v>
      </c>
      <c r="C17">
        <v>2.334E-2</v>
      </c>
      <c r="D17">
        <v>18</v>
      </c>
    </row>
    <row r="18" spans="1:4" x14ac:dyDescent="0.2">
      <c r="B18" t="s">
        <v>98</v>
      </c>
      <c r="C18">
        <v>1.438E-2</v>
      </c>
      <c r="D18">
        <v>19</v>
      </c>
    </row>
    <row r="19" spans="1:4" x14ac:dyDescent="0.2">
      <c r="B19" t="s">
        <v>108</v>
      </c>
      <c r="C19">
        <v>6.4900000000000001E-3</v>
      </c>
      <c r="D19">
        <v>20</v>
      </c>
    </row>
    <row r="20" spans="1:4" x14ac:dyDescent="0.2">
      <c r="A20" s="2" t="s">
        <v>110</v>
      </c>
      <c r="B20" t="s">
        <v>100</v>
      </c>
      <c r="C20">
        <v>0.10323</v>
      </c>
      <c r="D20">
        <v>1</v>
      </c>
    </row>
    <row r="21" spans="1:4" x14ac:dyDescent="0.2">
      <c r="B21" t="s">
        <v>94</v>
      </c>
      <c r="C21">
        <v>8.6510000000000004E-2</v>
      </c>
      <c r="D21">
        <v>2</v>
      </c>
    </row>
    <row r="22" spans="1:4" x14ac:dyDescent="0.2">
      <c r="B22" t="s">
        <v>102</v>
      </c>
      <c r="C22">
        <v>8.5309999999999997E-2</v>
      </c>
      <c r="D22">
        <v>3</v>
      </c>
    </row>
    <row r="23" spans="1:4" x14ac:dyDescent="0.2">
      <c r="B23" s="2" t="s">
        <v>104</v>
      </c>
      <c r="C23">
        <v>2.2380000000000001E-2</v>
      </c>
      <c r="D23">
        <v>18</v>
      </c>
    </row>
    <row r="24" spans="1:4" x14ac:dyDescent="0.2">
      <c r="B24" s="2" t="s">
        <v>98</v>
      </c>
      <c r="C24">
        <v>1.6199999999999999E-2</v>
      </c>
      <c r="D24">
        <v>19</v>
      </c>
    </row>
    <row r="25" spans="1:4" x14ac:dyDescent="0.2">
      <c r="B25" s="2" t="s">
        <v>108</v>
      </c>
      <c r="C25">
        <v>1.231E-2</v>
      </c>
      <c r="D2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A754-3DBB-EC4E-A3EE-49BA0A83DB76}">
  <dimension ref="A3:H15"/>
  <sheetViews>
    <sheetView workbookViewId="0">
      <selection activeCell="I12" sqref="I12"/>
    </sheetView>
  </sheetViews>
  <sheetFormatPr baseColWidth="10" defaultRowHeight="16" x14ac:dyDescent="0.2"/>
  <cols>
    <col min="2" max="2" width="11.33203125" bestFit="1" customWidth="1"/>
  </cols>
  <sheetData>
    <row r="3" spans="1:8" x14ac:dyDescent="0.2">
      <c r="C3" t="s">
        <v>113</v>
      </c>
      <c r="F3" t="s">
        <v>114</v>
      </c>
    </row>
    <row r="4" spans="1:8" x14ac:dyDescent="0.2">
      <c r="A4" s="4" t="s">
        <v>112</v>
      </c>
      <c r="B4" s="4"/>
      <c r="C4" s="4" t="s">
        <v>122</v>
      </c>
      <c r="D4" s="4" t="s">
        <v>123</v>
      </c>
      <c r="E4" s="4" t="s">
        <v>124</v>
      </c>
      <c r="F4" s="4" t="s">
        <v>125</v>
      </c>
      <c r="G4" s="4" t="s">
        <v>126</v>
      </c>
      <c r="H4" s="4" t="s">
        <v>127</v>
      </c>
    </row>
    <row r="5" spans="1:8" x14ac:dyDescent="0.2">
      <c r="A5" s="4" t="s">
        <v>1</v>
      </c>
      <c r="B5" s="4" t="s">
        <v>2</v>
      </c>
      <c r="C5" t="s">
        <v>94</v>
      </c>
      <c r="D5" t="s">
        <v>93</v>
      </c>
      <c r="E5" t="s">
        <v>89</v>
      </c>
      <c r="F5" t="s">
        <v>98</v>
      </c>
      <c r="G5" t="s">
        <v>108</v>
      </c>
      <c r="H5" t="s">
        <v>104</v>
      </c>
    </row>
    <row r="6" spans="1:8" x14ac:dyDescent="0.2">
      <c r="A6" s="4"/>
      <c r="B6" s="4" t="s">
        <v>115</v>
      </c>
      <c r="C6">
        <v>0.12757165000000001</v>
      </c>
      <c r="D6">
        <v>0.11980335</v>
      </c>
      <c r="E6">
        <v>0.11784654999999999</v>
      </c>
      <c r="F6">
        <v>9.8001333333329992E-3</v>
      </c>
      <c r="G6">
        <v>2.4575666666669998E-3</v>
      </c>
      <c r="H6">
        <v>2.4526999999999999E-3</v>
      </c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x14ac:dyDescent="0.2">
      <c r="A8" s="5" t="s">
        <v>109</v>
      </c>
      <c r="B8" s="4" t="s">
        <v>2</v>
      </c>
      <c r="C8" t="s">
        <v>94</v>
      </c>
      <c r="D8" t="s">
        <v>100</v>
      </c>
      <c r="E8" t="s">
        <v>93</v>
      </c>
      <c r="F8" t="s">
        <v>104</v>
      </c>
      <c r="G8" t="s">
        <v>98</v>
      </c>
      <c r="H8" t="s">
        <v>108</v>
      </c>
    </row>
    <row r="9" spans="1:8" x14ac:dyDescent="0.2">
      <c r="A9" s="4"/>
      <c r="B9" s="4" t="s">
        <v>115</v>
      </c>
      <c r="C9">
        <v>9.8937766666666996E-2</v>
      </c>
      <c r="D9">
        <v>9.8407549999999996E-2</v>
      </c>
      <c r="E9">
        <v>8.4723049999999994E-2</v>
      </c>
      <c r="F9">
        <v>2.3672583333333001E-2</v>
      </c>
      <c r="G9">
        <v>1.4670216666666999E-2</v>
      </c>
      <c r="H9">
        <v>6.7728833333329996E-3</v>
      </c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5" t="s">
        <v>110</v>
      </c>
      <c r="B11" s="4" t="s">
        <v>2</v>
      </c>
      <c r="C11" t="s">
        <v>100</v>
      </c>
      <c r="D11" t="s">
        <v>94</v>
      </c>
      <c r="E11" t="s">
        <v>102</v>
      </c>
      <c r="F11" t="s">
        <v>104</v>
      </c>
      <c r="G11" t="s">
        <v>98</v>
      </c>
      <c r="H11" t="s">
        <v>108</v>
      </c>
    </row>
    <row r="12" spans="1:8" x14ac:dyDescent="0.2">
      <c r="A12" s="4"/>
      <c r="B12" s="4" t="s">
        <v>115</v>
      </c>
      <c r="C12">
        <v>0.10173998333333301</v>
      </c>
      <c r="D12">
        <v>8.8309600000000002E-2</v>
      </c>
      <c r="E12">
        <v>8.4658916666667E-2</v>
      </c>
      <c r="F12">
        <v>2.2845549999999999E-2</v>
      </c>
      <c r="G12">
        <v>1.6344299999999999E-2</v>
      </c>
      <c r="H12">
        <v>1.2636666666667001E-2</v>
      </c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4" t="s">
        <v>87</v>
      </c>
      <c r="B14" s="4" t="s">
        <v>2</v>
      </c>
      <c r="C14" t="s">
        <v>37</v>
      </c>
      <c r="D14" t="s">
        <v>82</v>
      </c>
      <c r="E14" t="s">
        <v>42</v>
      </c>
      <c r="F14" t="s">
        <v>29</v>
      </c>
      <c r="G14" t="s">
        <v>79</v>
      </c>
      <c r="H14" t="s">
        <v>80</v>
      </c>
    </row>
    <row r="15" spans="1:8" x14ac:dyDescent="0.2">
      <c r="A15" s="4"/>
      <c r="B15" s="4" t="s">
        <v>115</v>
      </c>
      <c r="C15">
        <v>5.8926912698412999E-2</v>
      </c>
      <c r="D15">
        <v>5.2446591269840998E-2</v>
      </c>
      <c r="E15">
        <v>4.4847730158729997E-2</v>
      </c>
      <c r="F15">
        <v>2.43111111111E-4</v>
      </c>
      <c r="G15">
        <v>3.4936507937000002E-5</v>
      </c>
      <c r="H15">
        <v>3.4654761904999998E-5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4605-F247-8D47-A663-DB345F24E0DB}">
  <dimension ref="A1:CH27"/>
  <sheetViews>
    <sheetView workbookViewId="0">
      <selection activeCell="A23" sqref="A23"/>
    </sheetView>
  </sheetViews>
  <sheetFormatPr baseColWidth="10" defaultRowHeight="16" x14ac:dyDescent="0.2"/>
  <sheetData>
    <row r="1" spans="1:86" ht="17" x14ac:dyDescent="0.2">
      <c r="A1" s="3"/>
    </row>
    <row r="2" spans="1:86" ht="17" x14ac:dyDescent="0.2">
      <c r="A2" t="s">
        <v>117</v>
      </c>
      <c r="B2" s="3" t="s">
        <v>116</v>
      </c>
      <c r="C2" t="str" cm="1">
        <f t="array" ref="C2:CH2">_xlfn.TEXTSPLIT(B2," ")</f>
        <v>"100000"</v>
      </c>
      <c r="D2" t="str">
        <v>"000000"</v>
      </c>
      <c r="E2" t="str">
        <v>"010000"</v>
      </c>
      <c r="F2" t="str">
        <v>"001000"</v>
      </c>
      <c r="G2" t="str">
        <v>"000100"</v>
      </c>
      <c r="H2" t="str">
        <v>"000010"</v>
      </c>
      <c r="I2" t="str">
        <v>"000001"</v>
      </c>
      <c r="J2" t="str">
        <v>"110000"</v>
      </c>
      <c r="K2" t="str">
        <v>"020000"</v>
      </c>
      <c r="L2" t="str">
        <v>"011000"</v>
      </c>
      <c r="M2" t="str">
        <v>"010100"</v>
      </c>
      <c r="N2" t="str">
        <v>"010010"</v>
      </c>
      <c r="O2" t="str">
        <v>"010001"</v>
      </c>
      <c r="P2" t="str">
        <v>"101000"</v>
      </c>
      <c r="Q2" t="str">
        <v>"002000"</v>
      </c>
      <c r="R2" t="str">
        <v>"001100"</v>
      </c>
      <c r="S2" t="str">
        <v>"001010"</v>
      </c>
      <c r="T2" t="str">
        <v>"001001"</v>
      </c>
      <c r="U2" t="str">
        <v>"100100"</v>
      </c>
      <c r="V2" t="str">
        <v>"000200"</v>
      </c>
      <c r="W2" t="str">
        <v>"000110"</v>
      </c>
      <c r="X2" t="str">
        <v>"000101"</v>
      </c>
      <c r="Y2" t="str">
        <v>"100010"</v>
      </c>
      <c r="Z2" t="str">
        <v>"000020"</v>
      </c>
      <c r="AA2" t="str">
        <v>"000011"</v>
      </c>
      <c r="AB2" t="str">
        <v>"100001"</v>
      </c>
      <c r="AC2" t="str">
        <v>"000002"</v>
      </c>
      <c r="AD2" t="str">
        <v>"200000"</v>
      </c>
      <c r="AE2" t="str">
        <v>"120000"</v>
      </c>
      <c r="AF2" t="str">
        <v>"030000"</v>
      </c>
      <c r="AG2" t="str">
        <v>"021000"</v>
      </c>
      <c r="AH2" t="str">
        <v>"020100"</v>
      </c>
      <c r="AI2" t="str">
        <v>"020010"</v>
      </c>
      <c r="AJ2" t="str">
        <v>"020001"</v>
      </c>
      <c r="AK2" t="str">
        <v>"111000"</v>
      </c>
      <c r="AL2" t="str">
        <v>"012000"</v>
      </c>
      <c r="AM2" t="str">
        <v>"011100"</v>
      </c>
      <c r="AN2" t="str">
        <v>"011010"</v>
      </c>
      <c r="AO2" t="str">
        <v>"011001"</v>
      </c>
      <c r="AP2" t="str">
        <v>"110100"</v>
      </c>
      <c r="AQ2" t="str">
        <v>"010200"</v>
      </c>
      <c r="AR2" t="str">
        <v>"010110"</v>
      </c>
      <c r="AS2" t="str">
        <v>"010101"</v>
      </c>
      <c r="AT2" t="str">
        <v>"110010"</v>
      </c>
      <c r="AU2" t="str">
        <v>"010020"</v>
      </c>
      <c r="AV2" t="str">
        <v>"010011"</v>
      </c>
      <c r="AW2" t="str">
        <v>"110001"</v>
      </c>
      <c r="AX2" t="str">
        <v>"010002"</v>
      </c>
      <c r="AY2" t="str">
        <v>"102000"</v>
      </c>
      <c r="AZ2" t="str">
        <v>"003000"</v>
      </c>
      <c r="BA2" t="str">
        <v>"002100"</v>
      </c>
      <c r="BB2" t="str">
        <v>"002010"</v>
      </c>
      <c r="BC2" t="str">
        <v>"002001"</v>
      </c>
      <c r="BD2" t="str">
        <v>"101100"</v>
      </c>
      <c r="BE2" t="str">
        <v>"001200"</v>
      </c>
      <c r="BF2" t="str">
        <v>"001110"</v>
      </c>
      <c r="BG2" t="str">
        <v>"001101"</v>
      </c>
      <c r="BH2" t="str">
        <v>"101010"</v>
      </c>
      <c r="BI2" t="str">
        <v>"001020"</v>
      </c>
      <c r="BJ2" t="str">
        <v>"001011"</v>
      </c>
      <c r="BK2" t="str">
        <v>"101001"</v>
      </c>
      <c r="BL2" t="str">
        <v>"001002"</v>
      </c>
      <c r="BM2" t="str">
        <v>"100200"</v>
      </c>
      <c r="BN2" t="str">
        <v>"000300"</v>
      </c>
      <c r="BO2" t="str">
        <v>"000210"</v>
      </c>
      <c r="BP2" t="str">
        <v>"000201"</v>
      </c>
      <c r="BQ2" t="str">
        <v>"100110"</v>
      </c>
      <c r="BR2" t="str">
        <v>"000120"</v>
      </c>
      <c r="BS2" t="str">
        <v>"000111"</v>
      </c>
      <c r="BT2" t="str">
        <v>"100101"</v>
      </c>
      <c r="BU2" t="str">
        <v>"000102"</v>
      </c>
      <c r="BV2" t="str">
        <v>"100020"</v>
      </c>
      <c r="BW2" t="str">
        <v>"000030"</v>
      </c>
      <c r="BX2" t="str">
        <v>"000021"</v>
      </c>
      <c r="BY2" t="str">
        <v>"100011"</v>
      </c>
      <c r="BZ2" t="str">
        <v>"000012"</v>
      </c>
      <c r="CA2" t="str">
        <v>"100002"</v>
      </c>
      <c r="CB2" t="str">
        <v>"000003"</v>
      </c>
      <c r="CC2" t="str">
        <v>"300000"</v>
      </c>
      <c r="CD2" t="str">
        <v>"210000"</v>
      </c>
      <c r="CE2" t="str">
        <v>"201000"</v>
      </c>
      <c r="CF2" t="str">
        <v>"200100"</v>
      </c>
      <c r="CG2" t="str">
        <v>"200010"</v>
      </c>
      <c r="CH2" t="str">
        <v>"200001"</v>
      </c>
    </row>
    <row r="3" spans="1:86" ht="17" x14ac:dyDescent="0.2">
      <c r="B3" s="1"/>
      <c r="C3">
        <v>1.0266182539683E-2</v>
      </c>
      <c r="D3">
        <v>1.713738095238E-3</v>
      </c>
      <c r="E3">
        <v>5.9121031746029997E-3</v>
      </c>
      <c r="F3">
        <v>5.1132103174600001E-3</v>
      </c>
      <c r="G3">
        <v>4.2169761904760003E-3</v>
      </c>
      <c r="H3">
        <v>3.0882499999999998E-3</v>
      </c>
      <c r="I3">
        <v>1.709285714286E-3</v>
      </c>
      <c r="J3">
        <v>2.8773158730158999E-2</v>
      </c>
      <c r="K3">
        <v>8.4937896825400001E-3</v>
      </c>
      <c r="L3">
        <v>1.4275380952380999E-2</v>
      </c>
      <c r="M3">
        <v>1.140973015873E-2</v>
      </c>
      <c r="N3">
        <v>8.1297658730160004E-3</v>
      </c>
      <c r="O3">
        <v>4.5596190476189999E-3</v>
      </c>
      <c r="P3">
        <v>2.4276285714286E-2</v>
      </c>
      <c r="Q3">
        <v>5.9169166666669997E-3</v>
      </c>
      <c r="R3">
        <v>9.4718531746029993E-3</v>
      </c>
      <c r="S3">
        <v>6.7353253968250003E-3</v>
      </c>
      <c r="T3">
        <v>3.7763928571430002E-3</v>
      </c>
      <c r="U3">
        <v>1.9578134920634999E-2</v>
      </c>
      <c r="V3">
        <v>3.676023809524E-3</v>
      </c>
      <c r="W3">
        <v>5.1752460317459996E-3</v>
      </c>
      <c r="X3">
        <v>2.9162896825400001E-3</v>
      </c>
      <c r="Y3">
        <v>1.4447519841270001E-2</v>
      </c>
      <c r="Z3">
        <v>1.6192380952380001E-3</v>
      </c>
      <c r="AA3">
        <v>1.822083333333E-3</v>
      </c>
      <c r="AB3">
        <v>7.9444404761899994E-3</v>
      </c>
      <c r="AC3">
        <v>2.43111111111E-4</v>
      </c>
      <c r="AD3">
        <v>2.5183051587302E-2</v>
      </c>
      <c r="AE3">
        <v>3.6253488095237998E-2</v>
      </c>
      <c r="AF3">
        <v>8.8321547619049992E-3</v>
      </c>
      <c r="AG3">
        <v>2.1516218253968E-2</v>
      </c>
      <c r="AH3">
        <v>1.6236452380952001E-2</v>
      </c>
      <c r="AI3">
        <v>1.0656416666667E-2</v>
      </c>
      <c r="AJ3">
        <v>5.1995317460320004E-3</v>
      </c>
      <c r="AK3">
        <v>5.8926912698412999E-2</v>
      </c>
      <c r="AL3">
        <v>1.7000353174603001E-2</v>
      </c>
      <c r="AM3">
        <v>2.5688761904761999E-2</v>
      </c>
      <c r="AN3">
        <v>1.7020738095237999E-2</v>
      </c>
      <c r="AO3">
        <v>8.3268611111110002E-3</v>
      </c>
      <c r="AP3">
        <v>4.4847730158729997E-2</v>
      </c>
      <c r="AQ3">
        <v>9.2538968253970001E-3</v>
      </c>
      <c r="AR3">
        <v>1.2353968253967999E-2</v>
      </c>
      <c r="AS3">
        <v>6.1642222222219999E-3</v>
      </c>
      <c r="AT3">
        <v>3.0385432539683E-2</v>
      </c>
      <c r="AU3">
        <v>3.6801071428569998E-3</v>
      </c>
      <c r="AV3">
        <v>3.7756785714289998E-3</v>
      </c>
      <c r="AW3">
        <v>1.5345075396825E-2</v>
      </c>
      <c r="AX3">
        <v>6.8632936507899997E-4</v>
      </c>
      <c r="AY3">
        <v>2.3360900793651E-2</v>
      </c>
      <c r="AZ3">
        <v>4.2830595238100002E-3</v>
      </c>
      <c r="BA3">
        <v>9.8261785714289993E-3</v>
      </c>
      <c r="BB3">
        <v>6.6025277777780004E-3</v>
      </c>
      <c r="BC3">
        <v>3.241920634921E-3</v>
      </c>
      <c r="BD3">
        <v>3.5681781746032003E-2</v>
      </c>
      <c r="BE3">
        <v>7.1459761904759996E-3</v>
      </c>
      <c r="BF3">
        <v>9.5786944444439994E-3</v>
      </c>
      <c r="BG3">
        <v>4.8518928571429998E-3</v>
      </c>
      <c r="BH3">
        <v>2.4238845238095E-2</v>
      </c>
      <c r="BI3">
        <v>2.8540634920630002E-3</v>
      </c>
      <c r="BJ3">
        <v>2.9737777777779999E-3</v>
      </c>
      <c r="BK3">
        <v>1.1931777777777999E-2</v>
      </c>
      <c r="BL3">
        <v>5.7465079365099996E-4</v>
      </c>
      <c r="BM3">
        <v>1.3028603174603E-2</v>
      </c>
      <c r="BN3">
        <v>1.5753849206350001E-3</v>
      </c>
      <c r="BO3">
        <v>3.224591269841E-3</v>
      </c>
      <c r="BP3">
        <v>1.7190158730159999E-3</v>
      </c>
      <c r="BQ3">
        <v>1.7769123015872999E-2</v>
      </c>
      <c r="BR3">
        <v>1.9555238095240002E-3</v>
      </c>
      <c r="BS3">
        <v>2.0942380952380002E-3</v>
      </c>
      <c r="BT3">
        <v>8.4658809523810007E-3</v>
      </c>
      <c r="BU3">
        <v>4.5141269841300001E-4</v>
      </c>
      <c r="BV3">
        <v>5.44580952381E-3</v>
      </c>
      <c r="BW3">
        <v>2.7117460317500002E-4</v>
      </c>
      <c r="BX3">
        <v>4.9800793650800002E-4</v>
      </c>
      <c r="BY3">
        <v>4.7765912698410004E-3</v>
      </c>
      <c r="BZ3">
        <v>2.9477777777800002E-4</v>
      </c>
      <c r="CA3">
        <v>3.4936507937000002E-5</v>
      </c>
      <c r="CB3">
        <v>3.4654761904999998E-5</v>
      </c>
      <c r="CC3">
        <v>2.5078765873015999E-2</v>
      </c>
      <c r="CD3">
        <v>5.2446591269840998E-2</v>
      </c>
      <c r="CE3">
        <v>4.3906797619047998E-2</v>
      </c>
      <c r="CF3">
        <v>3.4959857142857001E-2</v>
      </c>
      <c r="CG3">
        <v>2.5963678571428998E-2</v>
      </c>
      <c r="CH3">
        <v>1.6265103174603002E-2</v>
      </c>
    </row>
    <row r="5" spans="1:86" x14ac:dyDescent="0.2"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 t="s">
        <v>14</v>
      </c>
      <c r="O5" t="s">
        <v>15</v>
      </c>
      <c r="P5" t="s">
        <v>16</v>
      </c>
      <c r="Q5" t="s">
        <v>17</v>
      </c>
      <c r="R5" t="s">
        <v>18</v>
      </c>
      <c r="S5" t="s">
        <v>19</v>
      </c>
      <c r="T5" t="s">
        <v>20</v>
      </c>
      <c r="U5" t="s">
        <v>21</v>
      </c>
      <c r="V5" t="s">
        <v>22</v>
      </c>
      <c r="W5" t="s">
        <v>23</v>
      </c>
      <c r="X5" t="s">
        <v>24</v>
      </c>
      <c r="Y5" t="s">
        <v>25</v>
      </c>
      <c r="Z5" t="s">
        <v>26</v>
      </c>
      <c r="AA5" t="s">
        <v>27</v>
      </c>
      <c r="AB5" t="s">
        <v>28</v>
      </c>
      <c r="AC5" t="s">
        <v>29</v>
      </c>
      <c r="AD5" t="s">
        <v>30</v>
      </c>
      <c r="AE5" t="s">
        <v>31</v>
      </c>
      <c r="AF5" t="s">
        <v>32</v>
      </c>
      <c r="AG5" t="s">
        <v>33</v>
      </c>
      <c r="AH5" t="s">
        <v>34</v>
      </c>
      <c r="AI5" t="s">
        <v>35</v>
      </c>
      <c r="AJ5" t="s">
        <v>36</v>
      </c>
      <c r="AK5" t="s">
        <v>37</v>
      </c>
      <c r="AL5" t="s">
        <v>38</v>
      </c>
      <c r="AM5" t="s">
        <v>39</v>
      </c>
      <c r="AN5" t="s">
        <v>40</v>
      </c>
      <c r="AO5" t="s">
        <v>41</v>
      </c>
      <c r="AP5" t="s">
        <v>42</v>
      </c>
      <c r="AQ5" t="s">
        <v>43</v>
      </c>
      <c r="AR5" t="s">
        <v>44</v>
      </c>
      <c r="AS5" t="s">
        <v>45</v>
      </c>
      <c r="AT5" t="s">
        <v>46</v>
      </c>
      <c r="AU5" t="s">
        <v>47</v>
      </c>
      <c r="AV5" t="s">
        <v>48</v>
      </c>
      <c r="AW5" t="s">
        <v>49</v>
      </c>
      <c r="AX5" t="s">
        <v>50</v>
      </c>
      <c r="AY5" t="s">
        <v>51</v>
      </c>
      <c r="AZ5" t="s">
        <v>52</v>
      </c>
      <c r="BA5" t="s">
        <v>53</v>
      </c>
      <c r="BB5" t="s">
        <v>54</v>
      </c>
      <c r="BC5" t="s">
        <v>55</v>
      </c>
      <c r="BD5" t="s">
        <v>56</v>
      </c>
      <c r="BE5" t="s">
        <v>57</v>
      </c>
      <c r="BF5" t="s">
        <v>58</v>
      </c>
      <c r="BG5" t="s">
        <v>59</v>
      </c>
      <c r="BH5" t="s">
        <v>60</v>
      </c>
      <c r="BI5" t="s">
        <v>61</v>
      </c>
      <c r="BJ5" t="s">
        <v>62</v>
      </c>
      <c r="BK5" t="s">
        <v>63</v>
      </c>
      <c r="BL5" t="s">
        <v>64</v>
      </c>
      <c r="BM5" t="s">
        <v>65</v>
      </c>
      <c r="BN5" t="s">
        <v>66</v>
      </c>
      <c r="BO5" t="s">
        <v>67</v>
      </c>
      <c r="BP5" t="s">
        <v>68</v>
      </c>
      <c r="BQ5" t="s">
        <v>69</v>
      </c>
      <c r="BR5" t="s">
        <v>70</v>
      </c>
      <c r="BS5" t="s">
        <v>71</v>
      </c>
      <c r="BT5" t="s">
        <v>72</v>
      </c>
      <c r="BU5" t="s">
        <v>73</v>
      </c>
      <c r="BV5" t="s">
        <v>74</v>
      </c>
      <c r="BW5" t="s">
        <v>75</v>
      </c>
      <c r="BX5" t="s">
        <v>76</v>
      </c>
      <c r="BY5" t="s">
        <v>77</v>
      </c>
      <c r="BZ5" t="s">
        <v>78</v>
      </c>
      <c r="CA5" t="s">
        <v>79</v>
      </c>
      <c r="CB5" t="s">
        <v>80</v>
      </c>
      <c r="CC5" t="s">
        <v>81</v>
      </c>
      <c r="CD5" t="s">
        <v>82</v>
      </c>
      <c r="CE5" t="s">
        <v>83</v>
      </c>
      <c r="CF5" t="s">
        <v>84</v>
      </c>
      <c r="CG5" t="s">
        <v>85</v>
      </c>
      <c r="CH5" t="s">
        <v>86</v>
      </c>
    </row>
    <row r="6" spans="1:86" x14ac:dyDescent="0.2">
      <c r="C6">
        <v>1.0266182539683E-2</v>
      </c>
      <c r="D6">
        <v>1.713738095238E-3</v>
      </c>
      <c r="E6">
        <v>5.9121031746029997E-3</v>
      </c>
      <c r="F6">
        <v>5.1132103174600001E-3</v>
      </c>
      <c r="G6">
        <v>4.2169761904760003E-3</v>
      </c>
      <c r="H6">
        <v>3.0882499999999998E-3</v>
      </c>
      <c r="I6">
        <v>1.709285714286E-3</v>
      </c>
      <c r="J6">
        <v>2.8773158730158999E-2</v>
      </c>
      <c r="K6">
        <v>8.4937896825400001E-3</v>
      </c>
      <c r="L6">
        <v>1.4275380952380999E-2</v>
      </c>
      <c r="M6">
        <v>1.140973015873E-2</v>
      </c>
      <c r="N6">
        <v>8.1297658730160004E-3</v>
      </c>
      <c r="O6">
        <v>4.5596190476189999E-3</v>
      </c>
      <c r="P6">
        <v>2.4276285714286E-2</v>
      </c>
      <c r="Q6">
        <v>5.9169166666669997E-3</v>
      </c>
      <c r="R6">
        <v>9.4718531746029993E-3</v>
      </c>
      <c r="S6">
        <v>6.7353253968250003E-3</v>
      </c>
      <c r="T6">
        <v>3.7763928571430002E-3</v>
      </c>
      <c r="U6">
        <v>1.9578134920634999E-2</v>
      </c>
      <c r="V6">
        <v>3.676023809524E-3</v>
      </c>
      <c r="W6">
        <v>5.1752460317459996E-3</v>
      </c>
      <c r="X6">
        <v>2.9162896825400001E-3</v>
      </c>
      <c r="Y6">
        <v>1.4447519841270001E-2</v>
      </c>
      <c r="Z6">
        <v>1.6192380952380001E-3</v>
      </c>
      <c r="AA6">
        <v>1.822083333333E-3</v>
      </c>
      <c r="AB6">
        <v>7.9444404761899994E-3</v>
      </c>
      <c r="AC6">
        <v>2.43111111111E-4</v>
      </c>
      <c r="AD6">
        <v>2.5183051587302E-2</v>
      </c>
      <c r="AE6">
        <v>3.6253488095237998E-2</v>
      </c>
      <c r="AF6">
        <v>8.8321547619049992E-3</v>
      </c>
      <c r="AG6">
        <v>2.1516218253968E-2</v>
      </c>
      <c r="AH6">
        <v>1.6236452380952001E-2</v>
      </c>
      <c r="AI6">
        <v>1.0656416666667E-2</v>
      </c>
      <c r="AJ6">
        <v>5.1995317460320004E-3</v>
      </c>
      <c r="AK6">
        <v>5.8926912698412999E-2</v>
      </c>
      <c r="AL6">
        <v>1.7000353174603001E-2</v>
      </c>
      <c r="AM6">
        <v>2.5688761904761999E-2</v>
      </c>
      <c r="AN6">
        <v>1.7020738095237999E-2</v>
      </c>
      <c r="AO6">
        <v>8.3268611111110002E-3</v>
      </c>
      <c r="AP6">
        <v>4.4847730158729997E-2</v>
      </c>
      <c r="AQ6">
        <v>9.2538968253970001E-3</v>
      </c>
      <c r="AR6">
        <v>1.2353968253967999E-2</v>
      </c>
      <c r="AS6">
        <v>6.1642222222219999E-3</v>
      </c>
      <c r="AT6">
        <v>3.0385432539683E-2</v>
      </c>
      <c r="AU6">
        <v>3.6801071428569998E-3</v>
      </c>
      <c r="AV6">
        <v>3.7756785714289998E-3</v>
      </c>
      <c r="AW6">
        <v>1.5345075396825E-2</v>
      </c>
      <c r="AX6">
        <v>6.8632936507899997E-4</v>
      </c>
      <c r="AY6">
        <v>2.3360900793651E-2</v>
      </c>
      <c r="AZ6">
        <v>4.2830595238100002E-3</v>
      </c>
      <c r="BA6">
        <v>9.8261785714289993E-3</v>
      </c>
      <c r="BB6">
        <v>6.6025277777780004E-3</v>
      </c>
      <c r="BC6">
        <v>3.241920634921E-3</v>
      </c>
      <c r="BD6">
        <v>3.5681781746032003E-2</v>
      </c>
      <c r="BE6">
        <v>7.1459761904759996E-3</v>
      </c>
      <c r="BF6">
        <v>9.5786944444439994E-3</v>
      </c>
      <c r="BG6">
        <v>4.8518928571429998E-3</v>
      </c>
      <c r="BH6">
        <v>2.4238845238095E-2</v>
      </c>
      <c r="BI6">
        <v>2.8540634920630002E-3</v>
      </c>
      <c r="BJ6">
        <v>2.9737777777779999E-3</v>
      </c>
      <c r="BK6">
        <v>1.1931777777777999E-2</v>
      </c>
      <c r="BL6">
        <v>5.7465079365099996E-4</v>
      </c>
      <c r="BM6">
        <v>1.3028603174603E-2</v>
      </c>
      <c r="BN6">
        <v>1.5753849206350001E-3</v>
      </c>
      <c r="BO6">
        <v>3.224591269841E-3</v>
      </c>
      <c r="BP6">
        <v>1.7190158730159999E-3</v>
      </c>
      <c r="BQ6">
        <v>1.7769123015872999E-2</v>
      </c>
      <c r="BR6">
        <v>1.9555238095240002E-3</v>
      </c>
      <c r="BS6">
        <v>2.0942380952380002E-3</v>
      </c>
      <c r="BT6">
        <v>8.4658809523810007E-3</v>
      </c>
      <c r="BU6">
        <v>4.5141269841300001E-4</v>
      </c>
      <c r="BV6">
        <v>5.44580952381E-3</v>
      </c>
      <c r="BW6">
        <v>2.7117460317500002E-4</v>
      </c>
      <c r="BX6">
        <v>4.9800793650800002E-4</v>
      </c>
      <c r="BY6">
        <v>4.7765912698410004E-3</v>
      </c>
      <c r="BZ6">
        <v>2.9477777777800002E-4</v>
      </c>
      <c r="CA6">
        <v>3.4936507937000002E-5</v>
      </c>
      <c r="CB6">
        <v>3.4654761904999998E-5</v>
      </c>
      <c r="CC6">
        <v>2.5078765873015999E-2</v>
      </c>
      <c r="CD6">
        <v>5.2446591269840998E-2</v>
      </c>
      <c r="CE6">
        <v>4.3906797619047998E-2</v>
      </c>
      <c r="CF6">
        <v>3.4959857142857001E-2</v>
      </c>
      <c r="CG6">
        <v>2.5963678571428998E-2</v>
      </c>
      <c r="CH6">
        <v>1.6265103174603002E-2</v>
      </c>
    </row>
    <row r="9" spans="1:86" ht="17" x14ac:dyDescent="0.2">
      <c r="A9" t="s">
        <v>119</v>
      </c>
      <c r="B9" s="3" t="s">
        <v>88</v>
      </c>
      <c r="C9" t="str" cm="1">
        <f t="array" ref="C9:V9">_xlfn.TEXTSPLIT(B9," ")</f>
        <v>"100"</v>
      </c>
      <c r="D9" t="str">
        <v>"000"</v>
      </c>
      <c r="E9" t="str">
        <v>"010"</v>
      </c>
      <c r="F9" t="str">
        <v>"001"</v>
      </c>
      <c r="G9" t="str">
        <v>"200"</v>
      </c>
      <c r="H9" t="str">
        <v>"110"</v>
      </c>
      <c r="I9" t="str">
        <v>"101"</v>
      </c>
      <c r="J9" t="str">
        <v>"020"</v>
      </c>
      <c r="K9" t="str">
        <v>"011"</v>
      </c>
      <c r="L9" t="str">
        <v>"002"</v>
      </c>
      <c r="M9" t="str">
        <v>"300"</v>
      </c>
      <c r="N9" t="str">
        <v>"210"</v>
      </c>
      <c r="O9" t="str">
        <v>"201"</v>
      </c>
      <c r="P9" t="str">
        <v>"120"</v>
      </c>
      <c r="Q9" t="str">
        <v>"111"</v>
      </c>
      <c r="R9" t="str">
        <v>"102"</v>
      </c>
      <c r="S9" t="str">
        <v>"030"</v>
      </c>
      <c r="T9" t="str">
        <v>"021"</v>
      </c>
      <c r="U9" t="str">
        <v>"012"</v>
      </c>
      <c r="V9" t="str">
        <v>"003"</v>
      </c>
    </row>
    <row r="10" spans="1:86" x14ac:dyDescent="0.2">
      <c r="C10">
        <v>6.7345266666667E-2</v>
      </c>
      <c r="D10">
        <v>3.01581E-2</v>
      </c>
      <c r="E10">
        <v>4.9363133333332997E-2</v>
      </c>
      <c r="F10">
        <v>3.0168116666667001E-2</v>
      </c>
      <c r="G10">
        <v>7.7759883333333002E-2</v>
      </c>
      <c r="H10">
        <v>8.8309600000000002E-2</v>
      </c>
      <c r="I10">
        <v>4.8571633333333003E-2</v>
      </c>
      <c r="J10">
        <v>4.4188699999999997E-2</v>
      </c>
      <c r="K10">
        <v>3.7419116666667002E-2</v>
      </c>
      <c r="L10">
        <v>1.6344299999999999E-2</v>
      </c>
      <c r="M10">
        <v>8.0789583333332998E-2</v>
      </c>
      <c r="N10">
        <v>0.10173998333333301</v>
      </c>
      <c r="O10">
        <v>3.9926400000000001E-2</v>
      </c>
      <c r="P10">
        <v>8.4658916666667E-2</v>
      </c>
      <c r="Q10">
        <v>4.9339916666666997E-2</v>
      </c>
      <c r="R10">
        <v>2.2845549999999999E-2</v>
      </c>
      <c r="S10">
        <v>4.3915683333332997E-2</v>
      </c>
      <c r="T10">
        <v>4.3585649999999997E-2</v>
      </c>
      <c r="U10">
        <v>3.0933800000000001E-2</v>
      </c>
      <c r="V10">
        <v>1.2636666666667001E-2</v>
      </c>
    </row>
    <row r="12" spans="1:86" x14ac:dyDescent="0.2"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106</v>
      </c>
      <c r="U12" t="s">
        <v>107</v>
      </c>
      <c r="V12" t="s">
        <v>108</v>
      </c>
    </row>
    <row r="13" spans="1:86" x14ac:dyDescent="0.2">
      <c r="C13">
        <v>6.7345266666667E-2</v>
      </c>
      <c r="D13">
        <v>3.01581E-2</v>
      </c>
      <c r="E13">
        <v>4.9363133333332997E-2</v>
      </c>
      <c r="F13">
        <v>3.0168116666667001E-2</v>
      </c>
      <c r="G13">
        <v>7.7759883333333002E-2</v>
      </c>
      <c r="H13">
        <v>8.8309600000000002E-2</v>
      </c>
      <c r="I13">
        <v>4.8571633333333003E-2</v>
      </c>
      <c r="J13">
        <v>4.4188699999999997E-2</v>
      </c>
      <c r="K13">
        <v>3.7419116666667002E-2</v>
      </c>
      <c r="L13">
        <v>1.6344299999999999E-2</v>
      </c>
      <c r="M13">
        <v>8.0789583333332998E-2</v>
      </c>
      <c r="N13">
        <v>0.10173998333333301</v>
      </c>
      <c r="O13">
        <v>3.9926400000000001E-2</v>
      </c>
      <c r="P13">
        <v>8.4658916666667E-2</v>
      </c>
      <c r="Q13">
        <v>4.9339916666666997E-2</v>
      </c>
      <c r="R13">
        <v>2.2845549999999999E-2</v>
      </c>
      <c r="S13">
        <v>4.3915683333332997E-2</v>
      </c>
      <c r="T13">
        <v>4.3585649999999997E-2</v>
      </c>
      <c r="U13">
        <v>3.0933800000000001E-2</v>
      </c>
      <c r="V13">
        <v>1.2636666666667001E-2</v>
      </c>
    </row>
    <row r="16" spans="1:86" ht="17" x14ac:dyDescent="0.2">
      <c r="A16" t="s">
        <v>118</v>
      </c>
      <c r="B16" s="3" t="s">
        <v>120</v>
      </c>
      <c r="C16" t="str" cm="1">
        <f t="array" ref="C16:V16">_xlfn.TEXTSPLIT(B16," ")</f>
        <v>"100"</v>
      </c>
      <c r="D16" t="str">
        <v>"000"</v>
      </c>
      <c r="E16" t="str">
        <v>"010"</v>
      </c>
      <c r="F16" t="str">
        <v>"001"</v>
      </c>
      <c r="G16" t="str">
        <v>"200"</v>
      </c>
      <c r="H16" t="str">
        <v>"110"</v>
      </c>
      <c r="I16" t="str">
        <v>"101"</v>
      </c>
      <c r="J16" t="str">
        <v>"020"</v>
      </c>
      <c r="K16" t="str">
        <v>"011"</v>
      </c>
      <c r="L16" t="str">
        <v>"002"</v>
      </c>
      <c r="M16" t="str">
        <v>"210"</v>
      </c>
      <c r="N16" t="str">
        <v>"120"</v>
      </c>
      <c r="O16" t="str">
        <v>"111"</v>
      </c>
      <c r="P16" t="str">
        <v>"030"</v>
      </c>
      <c r="Q16" t="str">
        <v>"021"</v>
      </c>
      <c r="R16" t="str">
        <v>"012"</v>
      </c>
      <c r="S16" t="str">
        <v>"201"</v>
      </c>
      <c r="T16" t="str">
        <v>"102"</v>
      </c>
      <c r="U16" t="str">
        <v>"003"</v>
      </c>
      <c r="V16" t="str">
        <v>"300"</v>
      </c>
    </row>
    <row r="17" spans="1:22" x14ac:dyDescent="0.2">
      <c r="C17">
        <v>7.7861866666667001E-2</v>
      </c>
      <c r="D17">
        <v>3.105525E-2</v>
      </c>
      <c r="E17">
        <v>5.2285083333333003E-2</v>
      </c>
      <c r="F17">
        <v>3.1050766666667E-2</v>
      </c>
      <c r="G17">
        <v>8.4723049999999994E-2</v>
      </c>
      <c r="H17">
        <v>9.8937766666666996E-2</v>
      </c>
      <c r="I17">
        <v>5.6343200000000003E-2</v>
      </c>
      <c r="J17">
        <v>4.4519450000000002E-2</v>
      </c>
      <c r="K17">
        <v>3.8056133333332999E-2</v>
      </c>
      <c r="L17">
        <v>1.4670216666666999E-2</v>
      </c>
      <c r="M17">
        <v>9.8407549999999996E-2</v>
      </c>
      <c r="N17">
        <v>8.1658066666667001E-2</v>
      </c>
      <c r="O17">
        <v>5.1685500000000002E-2</v>
      </c>
      <c r="P17">
        <v>3.3079049999999999E-2</v>
      </c>
      <c r="Q17">
        <v>3.890805E-2</v>
      </c>
      <c r="R17">
        <v>2.5557866666667001E-2</v>
      </c>
      <c r="S17">
        <v>4.0373100000000002E-2</v>
      </c>
      <c r="T17">
        <v>2.3672583333333001E-2</v>
      </c>
      <c r="U17">
        <v>6.7728833333329996E-3</v>
      </c>
      <c r="V17">
        <v>7.0382566666667007E-2</v>
      </c>
    </row>
    <row r="19" spans="1:22" x14ac:dyDescent="0.2">
      <c r="C19" t="s">
        <v>89</v>
      </c>
      <c r="D19" t="s">
        <v>90</v>
      </c>
      <c r="E19" t="s">
        <v>91</v>
      </c>
      <c r="F19" t="s">
        <v>92</v>
      </c>
      <c r="G19" t="s">
        <v>93</v>
      </c>
      <c r="H19" t="s">
        <v>94</v>
      </c>
      <c r="I19" t="s">
        <v>95</v>
      </c>
      <c r="J19" t="s">
        <v>96</v>
      </c>
      <c r="K19" t="s">
        <v>97</v>
      </c>
      <c r="L19" t="s">
        <v>98</v>
      </c>
      <c r="M19" t="s">
        <v>100</v>
      </c>
      <c r="N19" t="s">
        <v>102</v>
      </c>
      <c r="O19" t="s">
        <v>103</v>
      </c>
      <c r="P19" t="s">
        <v>105</v>
      </c>
      <c r="Q19" t="s">
        <v>106</v>
      </c>
      <c r="R19" t="s">
        <v>107</v>
      </c>
      <c r="S19" t="s">
        <v>101</v>
      </c>
      <c r="T19" t="s">
        <v>104</v>
      </c>
      <c r="U19" t="s">
        <v>108</v>
      </c>
      <c r="V19" t="s">
        <v>99</v>
      </c>
    </row>
    <row r="20" spans="1:22" x14ac:dyDescent="0.2">
      <c r="C20">
        <v>7.7861866666667001E-2</v>
      </c>
      <c r="D20">
        <v>3.105525E-2</v>
      </c>
      <c r="E20">
        <v>5.2285083333333003E-2</v>
      </c>
      <c r="F20">
        <v>3.1050766666667E-2</v>
      </c>
      <c r="G20">
        <v>8.4723049999999994E-2</v>
      </c>
      <c r="H20">
        <v>9.8937766666666996E-2</v>
      </c>
      <c r="I20">
        <v>5.6343200000000003E-2</v>
      </c>
      <c r="J20">
        <v>4.4519450000000002E-2</v>
      </c>
      <c r="K20">
        <v>3.8056133333332999E-2</v>
      </c>
      <c r="L20">
        <v>1.4670216666666999E-2</v>
      </c>
      <c r="M20">
        <v>9.8407549999999996E-2</v>
      </c>
      <c r="N20">
        <v>8.1658066666667001E-2</v>
      </c>
      <c r="O20">
        <v>5.1685500000000002E-2</v>
      </c>
      <c r="P20">
        <v>3.3079049999999999E-2</v>
      </c>
      <c r="Q20">
        <v>3.890805E-2</v>
      </c>
      <c r="R20">
        <v>2.5557866666667001E-2</v>
      </c>
      <c r="S20">
        <v>4.0373100000000002E-2</v>
      </c>
      <c r="T20">
        <v>2.3672583333333001E-2</v>
      </c>
      <c r="U20">
        <v>6.7728833333329996E-3</v>
      </c>
      <c r="V20">
        <v>7.0382566666667007E-2</v>
      </c>
    </row>
    <row r="23" spans="1:22" ht="17" x14ac:dyDescent="0.2">
      <c r="A23" t="s">
        <v>121</v>
      </c>
      <c r="B23" s="3" t="s">
        <v>111</v>
      </c>
      <c r="C23" t="str" cm="1">
        <f t="array" ref="C23:V23">_xlfn.TEXTSPLIT(B23," ")</f>
        <v>"100"</v>
      </c>
      <c r="D23" t="str">
        <v>"000"</v>
      </c>
      <c r="E23" t="str">
        <v>"010"</v>
      </c>
      <c r="F23" t="str">
        <v>"001"</v>
      </c>
      <c r="G23" t="str">
        <v>"110"</v>
      </c>
      <c r="H23" t="str">
        <v>"020"</v>
      </c>
      <c r="I23" t="str">
        <v>"011"</v>
      </c>
      <c r="J23" t="str">
        <v>"101"</v>
      </c>
      <c r="K23" t="str">
        <v>"002"</v>
      </c>
      <c r="L23" t="str">
        <v>"200"</v>
      </c>
      <c r="M23" t="str">
        <v>"120"</v>
      </c>
      <c r="N23" t="str">
        <v>"030"</v>
      </c>
      <c r="O23" t="str">
        <v>"021"</v>
      </c>
      <c r="P23" t="str">
        <v>"111"</v>
      </c>
      <c r="Q23" t="str">
        <v>"012"</v>
      </c>
      <c r="R23" t="str">
        <v>"102"</v>
      </c>
      <c r="S23" t="str">
        <v>"003"</v>
      </c>
      <c r="T23" t="str">
        <v>"300"</v>
      </c>
      <c r="U23" t="str">
        <v>"210"</v>
      </c>
      <c r="V23" t="str">
        <v>"201"</v>
      </c>
    </row>
    <row r="24" spans="1:22" x14ac:dyDescent="0.2">
      <c r="C24">
        <v>0.11784654999999999</v>
      </c>
      <c r="D24">
        <v>3.9258300000000003E-2</v>
      </c>
      <c r="E24">
        <v>6.7007816666666997E-2</v>
      </c>
      <c r="F24">
        <v>3.9279649999999999E-2</v>
      </c>
      <c r="G24">
        <v>0.12757165000000001</v>
      </c>
      <c r="H24">
        <v>3.7721816666666998E-2</v>
      </c>
      <c r="I24">
        <v>4.4457183333332997E-2</v>
      </c>
      <c r="J24">
        <v>7.1675866666667004E-2</v>
      </c>
      <c r="K24">
        <v>9.8001333333329992E-3</v>
      </c>
      <c r="L24">
        <v>0.11980335</v>
      </c>
      <c r="M24">
        <v>4.3448483333333003E-2</v>
      </c>
      <c r="N24">
        <v>1.2526000000000001E-2</v>
      </c>
      <c r="O24">
        <v>2.1152966666667002E-2</v>
      </c>
      <c r="P24">
        <v>3.0996966666667E-2</v>
      </c>
      <c r="Q24">
        <v>1.356185E-2</v>
      </c>
      <c r="R24">
        <v>2.4526999999999999E-3</v>
      </c>
      <c r="S24">
        <v>2.4575666666669998E-3</v>
      </c>
      <c r="T24">
        <v>6.1009916666666997E-2</v>
      </c>
      <c r="U24">
        <v>8.9460066666667004E-2</v>
      </c>
      <c r="V24">
        <v>4.8511166666667001E-2</v>
      </c>
    </row>
    <row r="26" spans="1:22" x14ac:dyDescent="0.2">
      <c r="C26" t="s">
        <v>89</v>
      </c>
      <c r="D26" t="s">
        <v>90</v>
      </c>
      <c r="E26" t="s">
        <v>91</v>
      </c>
      <c r="F26" t="s">
        <v>92</v>
      </c>
      <c r="G26" t="s">
        <v>94</v>
      </c>
      <c r="H26" t="s">
        <v>96</v>
      </c>
      <c r="I26" t="s">
        <v>97</v>
      </c>
      <c r="J26" t="s">
        <v>95</v>
      </c>
      <c r="K26" t="s">
        <v>98</v>
      </c>
      <c r="L26" t="s">
        <v>93</v>
      </c>
      <c r="M26" t="s">
        <v>102</v>
      </c>
      <c r="N26" t="s">
        <v>105</v>
      </c>
      <c r="O26" t="s">
        <v>106</v>
      </c>
      <c r="P26" t="s">
        <v>103</v>
      </c>
      <c r="Q26" t="s">
        <v>107</v>
      </c>
      <c r="R26" t="s">
        <v>104</v>
      </c>
      <c r="S26" t="s">
        <v>108</v>
      </c>
      <c r="T26" t="s">
        <v>99</v>
      </c>
      <c r="U26" t="s">
        <v>100</v>
      </c>
      <c r="V26" t="s">
        <v>101</v>
      </c>
    </row>
    <row r="27" spans="1:22" x14ac:dyDescent="0.2">
      <c r="C27">
        <v>0.11784654999999999</v>
      </c>
      <c r="D27">
        <v>3.9258300000000003E-2</v>
      </c>
      <c r="E27">
        <v>6.7007816666666997E-2</v>
      </c>
      <c r="F27">
        <v>3.9279649999999999E-2</v>
      </c>
      <c r="G27">
        <v>0.12757165000000001</v>
      </c>
      <c r="H27">
        <v>3.7721816666666998E-2</v>
      </c>
      <c r="I27">
        <v>4.4457183333332997E-2</v>
      </c>
      <c r="J27">
        <v>7.1675866666667004E-2</v>
      </c>
      <c r="K27">
        <v>9.8001333333329992E-3</v>
      </c>
      <c r="L27">
        <v>0.11980335</v>
      </c>
      <c r="M27">
        <v>4.3448483333333003E-2</v>
      </c>
      <c r="N27">
        <v>1.2526000000000001E-2</v>
      </c>
      <c r="O27">
        <v>2.1152966666667002E-2</v>
      </c>
      <c r="P27">
        <v>3.0996966666667E-2</v>
      </c>
      <c r="Q27">
        <v>1.356185E-2</v>
      </c>
      <c r="R27">
        <v>2.4526999999999999E-3</v>
      </c>
      <c r="S27">
        <v>2.4575666666669998E-3</v>
      </c>
      <c r="T27">
        <v>6.1009916666666997E-2</v>
      </c>
      <c r="U27">
        <v>8.9460066666667004E-2</v>
      </c>
      <c r="V27">
        <v>4.8511166666667001E-2</v>
      </c>
    </row>
  </sheetData>
  <sortState xmlns:xlrd2="http://schemas.microsoft.com/office/spreadsheetml/2017/richdata2" ref="B31:D50">
    <sortCondition descending="1" ref="B31:B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D972-B08B-A84F-B044-5AAE55011D1D}">
  <dimension ref="B2:P86"/>
  <sheetViews>
    <sheetView workbookViewId="0">
      <selection activeCell="B2" sqref="B2:D86"/>
    </sheetView>
  </sheetViews>
  <sheetFormatPr baseColWidth="10" defaultRowHeight="16" x14ac:dyDescent="0.2"/>
  <cols>
    <col min="15" max="15" width="13" bestFit="1" customWidth="1"/>
    <col min="16" max="16" width="12.1640625" bestFit="1" customWidth="1"/>
  </cols>
  <sheetData>
    <row r="2" spans="2:16" x14ac:dyDescent="0.2">
      <c r="B2" t="s">
        <v>2</v>
      </c>
      <c r="C2" t="s">
        <v>128</v>
      </c>
      <c r="D2" t="s">
        <v>129</v>
      </c>
    </row>
    <row r="3" spans="2:16" x14ac:dyDescent="0.2">
      <c r="B3" t="s">
        <v>3</v>
      </c>
      <c r="C3">
        <v>1.0266182539683E-2</v>
      </c>
      <c r="D3" t="str">
        <f>LEFT(B3,2)</f>
        <v>"1</v>
      </c>
    </row>
    <row r="4" spans="2:16" x14ac:dyDescent="0.2">
      <c r="B4" t="s">
        <v>4</v>
      </c>
      <c r="C4">
        <v>1.713738095238E-3</v>
      </c>
      <c r="D4" t="str">
        <f t="shared" ref="D4:D67" si="0">LEFT(B4,2)</f>
        <v>"0</v>
      </c>
    </row>
    <row r="5" spans="2:16" x14ac:dyDescent="0.2">
      <c r="B5" t="s">
        <v>5</v>
      </c>
      <c r="C5">
        <v>5.9121031746029997E-3</v>
      </c>
      <c r="D5" t="str">
        <f t="shared" si="0"/>
        <v>"0</v>
      </c>
    </row>
    <row r="6" spans="2:16" x14ac:dyDescent="0.2">
      <c r="B6" t="s">
        <v>6</v>
      </c>
      <c r="C6">
        <v>5.1132103174600001E-3</v>
      </c>
      <c r="D6" t="str">
        <f t="shared" si="0"/>
        <v>"0</v>
      </c>
    </row>
    <row r="7" spans="2:16" x14ac:dyDescent="0.2">
      <c r="B7" t="s">
        <v>7</v>
      </c>
      <c r="C7">
        <v>4.2169761904760003E-3</v>
      </c>
      <c r="D7" t="str">
        <f t="shared" si="0"/>
        <v>"0</v>
      </c>
      <c r="O7" s="6" t="s">
        <v>130</v>
      </c>
      <c r="P7" t="s">
        <v>136</v>
      </c>
    </row>
    <row r="8" spans="2:16" x14ac:dyDescent="0.2">
      <c r="B8" t="s">
        <v>8</v>
      </c>
      <c r="C8">
        <v>3.0882499999999998E-3</v>
      </c>
      <c r="D8" t="str">
        <f t="shared" si="0"/>
        <v>"0</v>
      </c>
      <c r="O8" s="7" t="s">
        <v>131</v>
      </c>
      <c r="P8">
        <v>0.34041754365079496</v>
      </c>
    </row>
    <row r="9" spans="2:16" x14ac:dyDescent="0.2">
      <c r="B9" t="s">
        <v>9</v>
      </c>
      <c r="C9">
        <v>1.709285714286E-3</v>
      </c>
      <c r="D9" t="str">
        <f t="shared" si="0"/>
        <v>"0</v>
      </c>
      <c r="O9" s="7" t="s">
        <v>132</v>
      </c>
      <c r="P9">
        <v>0.43577861111111299</v>
      </c>
    </row>
    <row r="10" spans="2:16" x14ac:dyDescent="0.2">
      <c r="B10" t="s">
        <v>10</v>
      </c>
      <c r="C10">
        <v>2.8773158730158999E-2</v>
      </c>
      <c r="D10" t="str">
        <f t="shared" si="0"/>
        <v>"1</v>
      </c>
      <c r="O10" s="7" t="s">
        <v>133</v>
      </c>
      <c r="P10">
        <v>0.19872507936507999</v>
      </c>
    </row>
    <row r="11" spans="2:16" x14ac:dyDescent="0.2">
      <c r="B11" t="s">
        <v>11</v>
      </c>
      <c r="C11">
        <v>8.4937896825400001E-3</v>
      </c>
      <c r="D11" t="str">
        <f t="shared" si="0"/>
        <v>"0</v>
      </c>
      <c r="O11" s="7" t="s">
        <v>134</v>
      </c>
      <c r="P11">
        <v>2.5078765873015999E-2</v>
      </c>
    </row>
    <row r="12" spans="2:16" x14ac:dyDescent="0.2">
      <c r="B12" t="s">
        <v>12</v>
      </c>
      <c r="C12">
        <v>1.4275380952380999E-2</v>
      </c>
      <c r="D12" t="str">
        <f t="shared" si="0"/>
        <v>"0</v>
      </c>
      <c r="O12" s="7" t="s">
        <v>135</v>
      </c>
      <c r="P12">
        <v>1.000000000000004</v>
      </c>
    </row>
    <row r="13" spans="2:16" x14ac:dyDescent="0.2">
      <c r="B13" t="s">
        <v>13</v>
      </c>
      <c r="C13">
        <v>1.140973015873E-2</v>
      </c>
      <c r="D13" t="str">
        <f t="shared" si="0"/>
        <v>"0</v>
      </c>
    </row>
    <row r="14" spans="2:16" x14ac:dyDescent="0.2">
      <c r="B14" t="s">
        <v>14</v>
      </c>
      <c r="C14">
        <v>8.1297658730160004E-3</v>
      </c>
      <c r="D14" t="str">
        <f t="shared" si="0"/>
        <v>"0</v>
      </c>
    </row>
    <row r="15" spans="2:16" x14ac:dyDescent="0.2">
      <c r="B15" t="s">
        <v>15</v>
      </c>
      <c r="C15">
        <v>4.5596190476189999E-3</v>
      </c>
      <c r="D15" t="str">
        <f t="shared" si="0"/>
        <v>"0</v>
      </c>
    </row>
    <row r="16" spans="2:16" x14ac:dyDescent="0.2">
      <c r="B16" t="s">
        <v>16</v>
      </c>
      <c r="C16">
        <v>2.4276285714286E-2</v>
      </c>
      <c r="D16" t="str">
        <f t="shared" si="0"/>
        <v>"1</v>
      </c>
    </row>
    <row r="17" spans="2:4" x14ac:dyDescent="0.2">
      <c r="B17" t="s">
        <v>17</v>
      </c>
      <c r="C17">
        <v>5.9169166666669997E-3</v>
      </c>
      <c r="D17" t="str">
        <f t="shared" si="0"/>
        <v>"0</v>
      </c>
    </row>
    <row r="18" spans="2:4" x14ac:dyDescent="0.2">
      <c r="B18" t="s">
        <v>18</v>
      </c>
      <c r="C18">
        <v>9.4718531746029993E-3</v>
      </c>
      <c r="D18" t="str">
        <f t="shared" si="0"/>
        <v>"0</v>
      </c>
    </row>
    <row r="19" spans="2:4" x14ac:dyDescent="0.2">
      <c r="B19" t="s">
        <v>19</v>
      </c>
      <c r="C19">
        <v>6.7353253968250003E-3</v>
      </c>
      <c r="D19" t="str">
        <f t="shared" si="0"/>
        <v>"0</v>
      </c>
    </row>
    <row r="20" spans="2:4" x14ac:dyDescent="0.2">
      <c r="B20" t="s">
        <v>20</v>
      </c>
      <c r="C20">
        <v>3.7763928571430002E-3</v>
      </c>
      <c r="D20" t="str">
        <f t="shared" si="0"/>
        <v>"0</v>
      </c>
    </row>
    <row r="21" spans="2:4" x14ac:dyDescent="0.2">
      <c r="B21" t="s">
        <v>21</v>
      </c>
      <c r="C21">
        <v>1.9578134920634999E-2</v>
      </c>
      <c r="D21" t="str">
        <f t="shared" si="0"/>
        <v>"1</v>
      </c>
    </row>
    <row r="22" spans="2:4" x14ac:dyDescent="0.2">
      <c r="B22" t="s">
        <v>22</v>
      </c>
      <c r="C22">
        <v>3.676023809524E-3</v>
      </c>
      <c r="D22" t="str">
        <f t="shared" si="0"/>
        <v>"0</v>
      </c>
    </row>
    <row r="23" spans="2:4" x14ac:dyDescent="0.2">
      <c r="B23" t="s">
        <v>23</v>
      </c>
      <c r="C23">
        <v>5.1752460317459996E-3</v>
      </c>
      <c r="D23" t="str">
        <f t="shared" si="0"/>
        <v>"0</v>
      </c>
    </row>
    <row r="24" spans="2:4" x14ac:dyDescent="0.2">
      <c r="B24" t="s">
        <v>24</v>
      </c>
      <c r="C24">
        <v>2.9162896825400001E-3</v>
      </c>
      <c r="D24" t="str">
        <f t="shared" si="0"/>
        <v>"0</v>
      </c>
    </row>
    <row r="25" spans="2:4" x14ac:dyDescent="0.2">
      <c r="B25" t="s">
        <v>25</v>
      </c>
      <c r="C25">
        <v>1.4447519841270001E-2</v>
      </c>
      <c r="D25" t="str">
        <f t="shared" si="0"/>
        <v>"1</v>
      </c>
    </row>
    <row r="26" spans="2:4" x14ac:dyDescent="0.2">
      <c r="B26" t="s">
        <v>26</v>
      </c>
      <c r="C26">
        <v>1.6192380952380001E-3</v>
      </c>
      <c r="D26" t="str">
        <f t="shared" si="0"/>
        <v>"0</v>
      </c>
    </row>
    <row r="27" spans="2:4" x14ac:dyDescent="0.2">
      <c r="B27" t="s">
        <v>27</v>
      </c>
      <c r="C27">
        <v>1.822083333333E-3</v>
      </c>
      <c r="D27" t="str">
        <f t="shared" si="0"/>
        <v>"0</v>
      </c>
    </row>
    <row r="28" spans="2:4" x14ac:dyDescent="0.2">
      <c r="B28" t="s">
        <v>28</v>
      </c>
      <c r="C28">
        <v>7.9444404761899994E-3</v>
      </c>
      <c r="D28" t="str">
        <f t="shared" si="0"/>
        <v>"1</v>
      </c>
    </row>
    <row r="29" spans="2:4" x14ac:dyDescent="0.2">
      <c r="B29" t="s">
        <v>29</v>
      </c>
      <c r="C29">
        <v>2.43111111111E-4</v>
      </c>
      <c r="D29" t="str">
        <f t="shared" si="0"/>
        <v>"0</v>
      </c>
    </row>
    <row r="30" spans="2:4" x14ac:dyDescent="0.2">
      <c r="B30" t="s">
        <v>30</v>
      </c>
      <c r="C30">
        <v>2.5183051587302E-2</v>
      </c>
      <c r="D30" t="str">
        <f t="shared" si="0"/>
        <v>"2</v>
      </c>
    </row>
    <row r="31" spans="2:4" x14ac:dyDescent="0.2">
      <c r="B31" t="s">
        <v>31</v>
      </c>
      <c r="C31">
        <v>3.6253488095237998E-2</v>
      </c>
      <c r="D31" t="str">
        <f t="shared" si="0"/>
        <v>"1</v>
      </c>
    </row>
    <row r="32" spans="2:4" x14ac:dyDescent="0.2">
      <c r="B32" t="s">
        <v>32</v>
      </c>
      <c r="C32">
        <v>8.8321547619049992E-3</v>
      </c>
      <c r="D32" t="str">
        <f t="shared" si="0"/>
        <v>"0</v>
      </c>
    </row>
    <row r="33" spans="2:4" x14ac:dyDescent="0.2">
      <c r="B33" t="s">
        <v>33</v>
      </c>
      <c r="C33">
        <v>2.1516218253968E-2</v>
      </c>
      <c r="D33" t="str">
        <f t="shared" si="0"/>
        <v>"0</v>
      </c>
    </row>
    <row r="34" spans="2:4" x14ac:dyDescent="0.2">
      <c r="B34" t="s">
        <v>34</v>
      </c>
      <c r="C34">
        <v>1.6236452380952001E-2</v>
      </c>
      <c r="D34" t="str">
        <f t="shared" si="0"/>
        <v>"0</v>
      </c>
    </row>
    <row r="35" spans="2:4" x14ac:dyDescent="0.2">
      <c r="B35" t="s">
        <v>35</v>
      </c>
      <c r="C35">
        <v>1.0656416666667E-2</v>
      </c>
      <c r="D35" t="str">
        <f t="shared" si="0"/>
        <v>"0</v>
      </c>
    </row>
    <row r="36" spans="2:4" x14ac:dyDescent="0.2">
      <c r="B36" t="s">
        <v>36</v>
      </c>
      <c r="C36">
        <v>5.1995317460320004E-3</v>
      </c>
      <c r="D36" t="str">
        <f t="shared" si="0"/>
        <v>"0</v>
      </c>
    </row>
    <row r="37" spans="2:4" x14ac:dyDescent="0.2">
      <c r="B37" t="s">
        <v>37</v>
      </c>
      <c r="C37">
        <v>5.8926912698412999E-2</v>
      </c>
      <c r="D37" t="str">
        <f t="shared" si="0"/>
        <v>"1</v>
      </c>
    </row>
    <row r="38" spans="2:4" x14ac:dyDescent="0.2">
      <c r="B38" t="s">
        <v>38</v>
      </c>
      <c r="C38">
        <v>1.7000353174603001E-2</v>
      </c>
      <c r="D38" t="str">
        <f t="shared" si="0"/>
        <v>"0</v>
      </c>
    </row>
    <row r="39" spans="2:4" x14ac:dyDescent="0.2">
      <c r="B39" t="s">
        <v>39</v>
      </c>
      <c r="C39">
        <v>2.5688761904761999E-2</v>
      </c>
      <c r="D39" t="str">
        <f t="shared" si="0"/>
        <v>"0</v>
      </c>
    </row>
    <row r="40" spans="2:4" x14ac:dyDescent="0.2">
      <c r="B40" t="s">
        <v>40</v>
      </c>
      <c r="C40">
        <v>1.7020738095237999E-2</v>
      </c>
      <c r="D40" t="str">
        <f t="shared" si="0"/>
        <v>"0</v>
      </c>
    </row>
    <row r="41" spans="2:4" x14ac:dyDescent="0.2">
      <c r="B41" t="s">
        <v>41</v>
      </c>
      <c r="C41">
        <v>8.3268611111110002E-3</v>
      </c>
      <c r="D41" t="str">
        <f t="shared" si="0"/>
        <v>"0</v>
      </c>
    </row>
    <row r="42" spans="2:4" x14ac:dyDescent="0.2">
      <c r="B42" t="s">
        <v>42</v>
      </c>
      <c r="C42">
        <v>4.4847730158729997E-2</v>
      </c>
      <c r="D42" t="str">
        <f t="shared" si="0"/>
        <v>"1</v>
      </c>
    </row>
    <row r="43" spans="2:4" x14ac:dyDescent="0.2">
      <c r="B43" t="s">
        <v>43</v>
      </c>
      <c r="C43">
        <v>9.2538968253970001E-3</v>
      </c>
      <c r="D43" t="str">
        <f t="shared" si="0"/>
        <v>"0</v>
      </c>
    </row>
    <row r="44" spans="2:4" x14ac:dyDescent="0.2">
      <c r="B44" t="s">
        <v>44</v>
      </c>
      <c r="C44">
        <v>1.2353968253967999E-2</v>
      </c>
      <c r="D44" t="str">
        <f t="shared" si="0"/>
        <v>"0</v>
      </c>
    </row>
    <row r="45" spans="2:4" x14ac:dyDescent="0.2">
      <c r="B45" t="s">
        <v>45</v>
      </c>
      <c r="C45">
        <v>6.1642222222219999E-3</v>
      </c>
      <c r="D45" t="str">
        <f t="shared" si="0"/>
        <v>"0</v>
      </c>
    </row>
    <row r="46" spans="2:4" x14ac:dyDescent="0.2">
      <c r="B46" t="s">
        <v>46</v>
      </c>
      <c r="C46">
        <v>3.0385432539683E-2</v>
      </c>
      <c r="D46" t="str">
        <f t="shared" si="0"/>
        <v>"1</v>
      </c>
    </row>
    <row r="47" spans="2:4" x14ac:dyDescent="0.2">
      <c r="B47" t="s">
        <v>47</v>
      </c>
      <c r="C47">
        <v>3.6801071428569998E-3</v>
      </c>
      <c r="D47" t="str">
        <f t="shared" si="0"/>
        <v>"0</v>
      </c>
    </row>
    <row r="48" spans="2:4" x14ac:dyDescent="0.2">
      <c r="B48" t="s">
        <v>48</v>
      </c>
      <c r="C48">
        <v>3.7756785714289998E-3</v>
      </c>
      <c r="D48" t="str">
        <f t="shared" si="0"/>
        <v>"0</v>
      </c>
    </row>
    <row r="49" spans="2:4" x14ac:dyDescent="0.2">
      <c r="B49" t="s">
        <v>49</v>
      </c>
      <c r="C49">
        <v>1.5345075396825E-2</v>
      </c>
      <c r="D49" t="str">
        <f t="shared" si="0"/>
        <v>"1</v>
      </c>
    </row>
    <row r="50" spans="2:4" x14ac:dyDescent="0.2">
      <c r="B50" t="s">
        <v>50</v>
      </c>
      <c r="C50">
        <v>6.8632936507899997E-4</v>
      </c>
      <c r="D50" t="str">
        <f t="shared" si="0"/>
        <v>"0</v>
      </c>
    </row>
    <row r="51" spans="2:4" x14ac:dyDescent="0.2">
      <c r="B51" t="s">
        <v>51</v>
      </c>
      <c r="C51">
        <v>2.3360900793651E-2</v>
      </c>
      <c r="D51" t="str">
        <f t="shared" si="0"/>
        <v>"1</v>
      </c>
    </row>
    <row r="52" spans="2:4" x14ac:dyDescent="0.2">
      <c r="B52" t="s">
        <v>52</v>
      </c>
      <c r="C52">
        <v>4.2830595238100002E-3</v>
      </c>
      <c r="D52" t="str">
        <f t="shared" si="0"/>
        <v>"0</v>
      </c>
    </row>
    <row r="53" spans="2:4" x14ac:dyDescent="0.2">
      <c r="B53" t="s">
        <v>53</v>
      </c>
      <c r="C53">
        <v>9.8261785714289993E-3</v>
      </c>
      <c r="D53" t="str">
        <f t="shared" si="0"/>
        <v>"0</v>
      </c>
    </row>
    <row r="54" spans="2:4" x14ac:dyDescent="0.2">
      <c r="B54" t="s">
        <v>54</v>
      </c>
      <c r="C54">
        <v>6.6025277777780004E-3</v>
      </c>
      <c r="D54" t="str">
        <f t="shared" si="0"/>
        <v>"0</v>
      </c>
    </row>
    <row r="55" spans="2:4" x14ac:dyDescent="0.2">
      <c r="B55" t="s">
        <v>55</v>
      </c>
      <c r="C55">
        <v>3.241920634921E-3</v>
      </c>
      <c r="D55" t="str">
        <f t="shared" si="0"/>
        <v>"0</v>
      </c>
    </row>
    <row r="56" spans="2:4" x14ac:dyDescent="0.2">
      <c r="B56" t="s">
        <v>56</v>
      </c>
      <c r="C56">
        <v>3.5681781746032003E-2</v>
      </c>
      <c r="D56" t="str">
        <f t="shared" si="0"/>
        <v>"1</v>
      </c>
    </row>
    <row r="57" spans="2:4" x14ac:dyDescent="0.2">
      <c r="B57" t="s">
        <v>57</v>
      </c>
      <c r="C57">
        <v>7.1459761904759996E-3</v>
      </c>
      <c r="D57" t="str">
        <f t="shared" si="0"/>
        <v>"0</v>
      </c>
    </row>
    <row r="58" spans="2:4" x14ac:dyDescent="0.2">
      <c r="B58" t="s">
        <v>58</v>
      </c>
      <c r="C58">
        <v>9.5786944444439994E-3</v>
      </c>
      <c r="D58" t="str">
        <f t="shared" si="0"/>
        <v>"0</v>
      </c>
    </row>
    <row r="59" spans="2:4" x14ac:dyDescent="0.2">
      <c r="B59" t="s">
        <v>59</v>
      </c>
      <c r="C59">
        <v>4.8518928571429998E-3</v>
      </c>
      <c r="D59" t="str">
        <f t="shared" si="0"/>
        <v>"0</v>
      </c>
    </row>
    <row r="60" spans="2:4" x14ac:dyDescent="0.2">
      <c r="B60" t="s">
        <v>60</v>
      </c>
      <c r="C60">
        <v>2.4238845238095E-2</v>
      </c>
      <c r="D60" t="str">
        <f t="shared" si="0"/>
        <v>"1</v>
      </c>
    </row>
    <row r="61" spans="2:4" x14ac:dyDescent="0.2">
      <c r="B61" t="s">
        <v>61</v>
      </c>
      <c r="C61">
        <v>2.8540634920630002E-3</v>
      </c>
      <c r="D61" t="str">
        <f t="shared" si="0"/>
        <v>"0</v>
      </c>
    </row>
    <row r="62" spans="2:4" x14ac:dyDescent="0.2">
      <c r="B62" t="s">
        <v>62</v>
      </c>
      <c r="C62">
        <v>2.9737777777779999E-3</v>
      </c>
      <c r="D62" t="str">
        <f t="shared" si="0"/>
        <v>"0</v>
      </c>
    </row>
    <row r="63" spans="2:4" x14ac:dyDescent="0.2">
      <c r="B63" t="s">
        <v>63</v>
      </c>
      <c r="C63">
        <v>1.1931777777777999E-2</v>
      </c>
      <c r="D63" t="str">
        <f t="shared" si="0"/>
        <v>"1</v>
      </c>
    </row>
    <row r="64" spans="2:4" x14ac:dyDescent="0.2">
      <c r="B64" t="s">
        <v>64</v>
      </c>
      <c r="C64">
        <v>5.7465079365099996E-4</v>
      </c>
      <c r="D64" t="str">
        <f t="shared" si="0"/>
        <v>"0</v>
      </c>
    </row>
    <row r="65" spans="2:4" x14ac:dyDescent="0.2">
      <c r="B65" t="s">
        <v>65</v>
      </c>
      <c r="C65">
        <v>1.3028603174603E-2</v>
      </c>
      <c r="D65" t="str">
        <f t="shared" si="0"/>
        <v>"1</v>
      </c>
    </row>
    <row r="66" spans="2:4" x14ac:dyDescent="0.2">
      <c r="B66" t="s">
        <v>66</v>
      </c>
      <c r="C66">
        <v>1.5753849206350001E-3</v>
      </c>
      <c r="D66" t="str">
        <f t="shared" si="0"/>
        <v>"0</v>
      </c>
    </row>
    <row r="67" spans="2:4" x14ac:dyDescent="0.2">
      <c r="B67" t="s">
        <v>67</v>
      </c>
      <c r="C67">
        <v>3.224591269841E-3</v>
      </c>
      <c r="D67" t="str">
        <f t="shared" si="0"/>
        <v>"0</v>
      </c>
    </row>
    <row r="68" spans="2:4" x14ac:dyDescent="0.2">
      <c r="B68" t="s">
        <v>68</v>
      </c>
      <c r="C68">
        <v>1.7190158730159999E-3</v>
      </c>
      <c r="D68" t="str">
        <f t="shared" ref="D68:D86" si="1">LEFT(B68,2)</f>
        <v>"0</v>
      </c>
    </row>
    <row r="69" spans="2:4" x14ac:dyDescent="0.2">
      <c r="B69" t="s">
        <v>69</v>
      </c>
      <c r="C69">
        <v>1.7769123015872999E-2</v>
      </c>
      <c r="D69" t="str">
        <f t="shared" si="1"/>
        <v>"1</v>
      </c>
    </row>
    <row r="70" spans="2:4" x14ac:dyDescent="0.2">
      <c r="B70" t="s">
        <v>70</v>
      </c>
      <c r="C70">
        <v>1.9555238095240002E-3</v>
      </c>
      <c r="D70" t="str">
        <f t="shared" si="1"/>
        <v>"0</v>
      </c>
    </row>
    <row r="71" spans="2:4" x14ac:dyDescent="0.2">
      <c r="B71" t="s">
        <v>71</v>
      </c>
      <c r="C71">
        <v>2.0942380952380002E-3</v>
      </c>
      <c r="D71" t="str">
        <f t="shared" si="1"/>
        <v>"0</v>
      </c>
    </row>
    <row r="72" spans="2:4" x14ac:dyDescent="0.2">
      <c r="B72" t="s">
        <v>72</v>
      </c>
      <c r="C72">
        <v>8.4658809523810007E-3</v>
      </c>
      <c r="D72" t="str">
        <f t="shared" si="1"/>
        <v>"1</v>
      </c>
    </row>
    <row r="73" spans="2:4" x14ac:dyDescent="0.2">
      <c r="B73" t="s">
        <v>73</v>
      </c>
      <c r="C73">
        <v>4.5141269841300001E-4</v>
      </c>
      <c r="D73" t="str">
        <f t="shared" si="1"/>
        <v>"0</v>
      </c>
    </row>
    <row r="74" spans="2:4" x14ac:dyDescent="0.2">
      <c r="B74" t="s">
        <v>74</v>
      </c>
      <c r="C74">
        <v>5.44580952381E-3</v>
      </c>
      <c r="D74" t="str">
        <f t="shared" si="1"/>
        <v>"1</v>
      </c>
    </row>
    <row r="75" spans="2:4" x14ac:dyDescent="0.2">
      <c r="B75" t="s">
        <v>75</v>
      </c>
      <c r="C75">
        <v>2.7117460317500002E-4</v>
      </c>
      <c r="D75" t="str">
        <f t="shared" si="1"/>
        <v>"0</v>
      </c>
    </row>
    <row r="76" spans="2:4" x14ac:dyDescent="0.2">
      <c r="B76" t="s">
        <v>76</v>
      </c>
      <c r="C76">
        <v>4.9800793650800002E-4</v>
      </c>
      <c r="D76" t="str">
        <f t="shared" si="1"/>
        <v>"0</v>
      </c>
    </row>
    <row r="77" spans="2:4" x14ac:dyDescent="0.2">
      <c r="B77" t="s">
        <v>77</v>
      </c>
      <c r="C77">
        <v>4.7765912698410004E-3</v>
      </c>
      <c r="D77" t="str">
        <f t="shared" si="1"/>
        <v>"1</v>
      </c>
    </row>
    <row r="78" spans="2:4" x14ac:dyDescent="0.2">
      <c r="B78" t="s">
        <v>78</v>
      </c>
      <c r="C78">
        <v>2.9477777777800002E-4</v>
      </c>
      <c r="D78" t="str">
        <f t="shared" si="1"/>
        <v>"0</v>
      </c>
    </row>
    <row r="79" spans="2:4" x14ac:dyDescent="0.2">
      <c r="B79" t="s">
        <v>79</v>
      </c>
      <c r="C79">
        <v>3.4936507937000002E-5</v>
      </c>
      <c r="D79" t="str">
        <f t="shared" si="1"/>
        <v>"1</v>
      </c>
    </row>
    <row r="80" spans="2:4" x14ac:dyDescent="0.2">
      <c r="B80" t="s">
        <v>80</v>
      </c>
      <c r="C80">
        <v>3.4654761904999998E-5</v>
      </c>
      <c r="D80" t="str">
        <f t="shared" si="1"/>
        <v>"0</v>
      </c>
    </row>
    <row r="81" spans="2:4" x14ac:dyDescent="0.2">
      <c r="B81" t="s">
        <v>81</v>
      </c>
      <c r="C81">
        <v>2.5078765873015999E-2</v>
      </c>
      <c r="D81" t="str">
        <f t="shared" si="1"/>
        <v>"3</v>
      </c>
    </row>
    <row r="82" spans="2:4" x14ac:dyDescent="0.2">
      <c r="B82" t="s">
        <v>82</v>
      </c>
      <c r="C82">
        <v>5.2446591269840998E-2</v>
      </c>
      <c r="D82" t="str">
        <f t="shared" si="1"/>
        <v>"2</v>
      </c>
    </row>
    <row r="83" spans="2:4" x14ac:dyDescent="0.2">
      <c r="B83" t="s">
        <v>83</v>
      </c>
      <c r="C83">
        <v>4.3906797619047998E-2</v>
      </c>
      <c r="D83" t="str">
        <f t="shared" si="1"/>
        <v>"2</v>
      </c>
    </row>
    <row r="84" spans="2:4" x14ac:dyDescent="0.2">
      <c r="B84" t="s">
        <v>84</v>
      </c>
      <c r="C84">
        <v>3.4959857142857001E-2</v>
      </c>
      <c r="D84" t="str">
        <f t="shared" si="1"/>
        <v>"2</v>
      </c>
    </row>
    <row r="85" spans="2:4" x14ac:dyDescent="0.2">
      <c r="B85" t="s">
        <v>85</v>
      </c>
      <c r="C85">
        <v>2.5963678571428998E-2</v>
      </c>
      <c r="D85" t="str">
        <f t="shared" si="1"/>
        <v>"2</v>
      </c>
    </row>
    <row r="86" spans="2:4" x14ac:dyDescent="0.2">
      <c r="B86" t="s">
        <v>86</v>
      </c>
      <c r="C86">
        <v>1.6265103174603002E-2</v>
      </c>
      <c r="D86" t="str">
        <f t="shared" si="1"/>
        <v>"2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34FE-FE83-0048-B607-884A9945FDE5}">
  <dimension ref="A3:F9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16" bestFit="1" customWidth="1"/>
    <col min="3" max="5" width="6.6640625" bestFit="1" customWidth="1"/>
    <col min="6" max="6" width="10.5" bestFit="1" customWidth="1"/>
  </cols>
  <sheetData>
    <row r="3" spans="1:6" x14ac:dyDescent="0.2">
      <c r="B3" s="6" t="s">
        <v>144</v>
      </c>
    </row>
    <row r="4" spans="1:6" x14ac:dyDescent="0.2">
      <c r="A4" s="6" t="s">
        <v>130</v>
      </c>
      <c r="B4" s="8">
        <v>7.0382566666667007E-2</v>
      </c>
      <c r="C4" s="8">
        <v>0.22350369999999997</v>
      </c>
      <c r="D4" s="8">
        <v>0.31595474999999995</v>
      </c>
      <c r="E4" s="8">
        <v>0.39015898333333399</v>
      </c>
      <c r="F4" s="8" t="s">
        <v>135</v>
      </c>
    </row>
    <row r="5" spans="1:6" x14ac:dyDescent="0.2">
      <c r="A5" s="10">
        <v>6.1009916666666997E-2</v>
      </c>
    </row>
    <row r="6" spans="1:6" x14ac:dyDescent="0.2">
      <c r="A6" s="10">
        <v>0.25777458333333403</v>
      </c>
    </row>
    <row r="7" spans="1:6" x14ac:dyDescent="0.2">
      <c r="A7" s="10">
        <v>0.28722328333333397</v>
      </c>
    </row>
    <row r="8" spans="1:6" x14ac:dyDescent="0.2">
      <c r="A8" s="10">
        <v>0.39399221666666701</v>
      </c>
    </row>
    <row r="9" spans="1:6" x14ac:dyDescent="0.2">
      <c r="A9" s="10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FDD7-B347-FE4A-9217-F7FEB4F37B1F}">
  <dimension ref="A1:S86"/>
  <sheetViews>
    <sheetView workbookViewId="0">
      <selection activeCell="G19" sqref="G19"/>
    </sheetView>
  </sheetViews>
  <sheetFormatPr baseColWidth="10" defaultRowHeight="16" x14ac:dyDescent="0.2"/>
  <cols>
    <col min="1" max="1" width="13" bestFit="1" customWidth="1"/>
    <col min="2" max="2" width="12.1640625" bestFit="1" customWidth="1"/>
    <col min="6" max="6" width="13" bestFit="1" customWidth="1"/>
    <col min="7" max="7" width="12.1640625" bestFit="1" customWidth="1"/>
    <col min="10" max="10" width="13" bestFit="1" customWidth="1"/>
    <col min="11" max="11" width="12.1640625" bestFit="1" customWidth="1"/>
    <col min="18" max="18" width="13" bestFit="1" customWidth="1"/>
    <col min="19" max="19" width="12.1640625" bestFit="1" customWidth="1"/>
  </cols>
  <sheetData>
    <row r="1" spans="2:16" x14ac:dyDescent="0.2">
      <c r="B1" t="s">
        <v>119</v>
      </c>
      <c r="F1" t="s">
        <v>118</v>
      </c>
      <c r="J1" t="s">
        <v>121</v>
      </c>
      <c r="N1" t="s">
        <v>117</v>
      </c>
    </row>
    <row r="2" spans="2:16" x14ac:dyDescent="0.2">
      <c r="B2" t="s">
        <v>2</v>
      </c>
      <c r="C2" t="s">
        <v>128</v>
      </c>
      <c r="D2" t="s">
        <v>137</v>
      </c>
      <c r="F2" t="s">
        <v>2</v>
      </c>
      <c r="G2" t="s">
        <v>128</v>
      </c>
      <c r="H2" t="s">
        <v>137</v>
      </c>
      <c r="J2" t="s">
        <v>2</v>
      </c>
      <c r="K2" t="s">
        <v>128</v>
      </c>
      <c r="L2" t="s">
        <v>137</v>
      </c>
      <c r="N2" t="s">
        <v>2</v>
      </c>
      <c r="O2" t="s">
        <v>128</v>
      </c>
      <c r="P2" t="s">
        <v>137</v>
      </c>
    </row>
    <row r="3" spans="2:16" x14ac:dyDescent="0.2">
      <c r="B3" t="s">
        <v>89</v>
      </c>
      <c r="C3">
        <v>6.7345266666667E-2</v>
      </c>
      <c r="D3" t="str">
        <f>LEFT(B3,2)</f>
        <v>"1</v>
      </c>
      <c r="F3" t="s">
        <v>89</v>
      </c>
      <c r="G3">
        <v>7.7861866666667001E-2</v>
      </c>
      <c r="H3" t="str">
        <f>LEFT(F3,2)</f>
        <v>"1</v>
      </c>
      <c r="J3" t="s">
        <v>89</v>
      </c>
      <c r="K3">
        <v>0.11784654999999999</v>
      </c>
      <c r="L3" t="str">
        <f>LEFT(J3,2)</f>
        <v>"1</v>
      </c>
      <c r="N3" t="s">
        <v>3</v>
      </c>
      <c r="O3">
        <v>1.0266182539683E-2</v>
      </c>
      <c r="P3" t="str">
        <f>LEFT(N3,2)</f>
        <v>"1</v>
      </c>
    </row>
    <row r="4" spans="2:16" x14ac:dyDescent="0.2">
      <c r="B4" t="s">
        <v>90</v>
      </c>
      <c r="C4">
        <v>3.01581E-2</v>
      </c>
      <c r="D4" t="str">
        <f t="shared" ref="D4:D22" si="0">LEFT(B4,2)</f>
        <v>"0</v>
      </c>
      <c r="F4" t="s">
        <v>90</v>
      </c>
      <c r="G4">
        <v>3.105525E-2</v>
      </c>
      <c r="H4" t="str">
        <f t="shared" ref="H4:H22" si="1">LEFT(F4,2)</f>
        <v>"0</v>
      </c>
      <c r="J4" t="s">
        <v>90</v>
      </c>
      <c r="K4">
        <v>3.9258300000000003E-2</v>
      </c>
      <c r="L4" t="str">
        <f t="shared" ref="L4:L22" si="2">LEFT(J4,2)</f>
        <v>"0</v>
      </c>
      <c r="N4" t="s">
        <v>4</v>
      </c>
      <c r="O4">
        <v>1.713738095238E-3</v>
      </c>
      <c r="P4" t="str">
        <f t="shared" ref="P4:P67" si="3">LEFT(N4,2)</f>
        <v>"0</v>
      </c>
    </row>
    <row r="5" spans="2:16" x14ac:dyDescent="0.2">
      <c r="B5" t="s">
        <v>91</v>
      </c>
      <c r="C5">
        <v>4.9363133333332997E-2</v>
      </c>
      <c r="D5" t="str">
        <f t="shared" si="0"/>
        <v>"0</v>
      </c>
      <c r="F5" t="s">
        <v>91</v>
      </c>
      <c r="G5">
        <v>5.2285083333333003E-2</v>
      </c>
      <c r="H5" t="str">
        <f t="shared" si="1"/>
        <v>"0</v>
      </c>
      <c r="J5" t="s">
        <v>91</v>
      </c>
      <c r="K5">
        <v>6.7007816666666997E-2</v>
      </c>
      <c r="L5" t="str">
        <f t="shared" si="2"/>
        <v>"0</v>
      </c>
      <c r="N5" t="s">
        <v>5</v>
      </c>
      <c r="O5">
        <v>5.9121031746029997E-3</v>
      </c>
      <c r="P5" t="str">
        <f t="shared" si="3"/>
        <v>"0</v>
      </c>
    </row>
    <row r="6" spans="2:16" x14ac:dyDescent="0.2">
      <c r="B6" t="s">
        <v>92</v>
      </c>
      <c r="C6">
        <v>3.0168116666667001E-2</v>
      </c>
      <c r="D6" t="str">
        <f t="shared" si="0"/>
        <v>"0</v>
      </c>
      <c r="F6" t="s">
        <v>92</v>
      </c>
      <c r="G6">
        <v>3.1050766666667E-2</v>
      </c>
      <c r="H6" t="str">
        <f t="shared" si="1"/>
        <v>"0</v>
      </c>
      <c r="J6" t="s">
        <v>92</v>
      </c>
      <c r="K6">
        <v>3.9279649999999999E-2</v>
      </c>
      <c r="L6" t="str">
        <f t="shared" si="2"/>
        <v>"0</v>
      </c>
      <c r="N6" t="s">
        <v>6</v>
      </c>
      <c r="O6">
        <v>5.1132103174600001E-3</v>
      </c>
      <c r="P6" t="str">
        <f t="shared" si="3"/>
        <v>"0</v>
      </c>
    </row>
    <row r="7" spans="2:16" x14ac:dyDescent="0.2">
      <c r="B7" t="s">
        <v>93</v>
      </c>
      <c r="C7">
        <v>7.7759883333333002E-2</v>
      </c>
      <c r="D7" t="str">
        <f t="shared" si="0"/>
        <v>"2</v>
      </c>
      <c r="F7" t="s">
        <v>93</v>
      </c>
      <c r="G7">
        <v>8.4723049999999994E-2</v>
      </c>
      <c r="H7" t="str">
        <f t="shared" si="1"/>
        <v>"2</v>
      </c>
      <c r="J7" t="s">
        <v>94</v>
      </c>
      <c r="K7">
        <v>0.12757165000000001</v>
      </c>
      <c r="L7" t="str">
        <f t="shared" si="2"/>
        <v>"1</v>
      </c>
      <c r="N7" t="s">
        <v>7</v>
      </c>
      <c r="O7">
        <v>4.2169761904760003E-3</v>
      </c>
      <c r="P7" t="str">
        <f t="shared" si="3"/>
        <v>"0</v>
      </c>
    </row>
    <row r="8" spans="2:16" x14ac:dyDescent="0.2">
      <c r="B8" t="s">
        <v>94</v>
      </c>
      <c r="C8">
        <v>8.8309600000000002E-2</v>
      </c>
      <c r="D8" t="str">
        <f t="shared" si="0"/>
        <v>"1</v>
      </c>
      <c r="F8" t="s">
        <v>94</v>
      </c>
      <c r="G8">
        <v>9.8937766666666996E-2</v>
      </c>
      <c r="H8" t="str">
        <f t="shared" si="1"/>
        <v>"1</v>
      </c>
      <c r="J8" t="s">
        <v>96</v>
      </c>
      <c r="K8">
        <v>3.7721816666666998E-2</v>
      </c>
      <c r="L8" t="str">
        <f t="shared" si="2"/>
        <v>"0</v>
      </c>
      <c r="N8" t="s">
        <v>8</v>
      </c>
      <c r="O8">
        <v>3.0882499999999998E-3</v>
      </c>
      <c r="P8" t="str">
        <f t="shared" si="3"/>
        <v>"0</v>
      </c>
    </row>
    <row r="9" spans="2:16" x14ac:dyDescent="0.2">
      <c r="B9" t="s">
        <v>95</v>
      </c>
      <c r="C9">
        <v>4.8571633333333003E-2</v>
      </c>
      <c r="D9" t="str">
        <f t="shared" si="0"/>
        <v>"1</v>
      </c>
      <c r="F9" t="s">
        <v>95</v>
      </c>
      <c r="G9">
        <v>5.6343200000000003E-2</v>
      </c>
      <c r="H9" t="str">
        <f t="shared" si="1"/>
        <v>"1</v>
      </c>
      <c r="J9" t="s">
        <v>97</v>
      </c>
      <c r="K9">
        <v>4.4457183333332997E-2</v>
      </c>
      <c r="L9" t="str">
        <f t="shared" si="2"/>
        <v>"0</v>
      </c>
      <c r="N9" t="s">
        <v>9</v>
      </c>
      <c r="O9">
        <v>1.709285714286E-3</v>
      </c>
      <c r="P9" t="str">
        <f t="shared" si="3"/>
        <v>"0</v>
      </c>
    </row>
    <row r="10" spans="2:16" x14ac:dyDescent="0.2">
      <c r="B10" t="s">
        <v>96</v>
      </c>
      <c r="C10">
        <v>4.4188699999999997E-2</v>
      </c>
      <c r="D10" t="str">
        <f t="shared" si="0"/>
        <v>"0</v>
      </c>
      <c r="F10" t="s">
        <v>96</v>
      </c>
      <c r="G10">
        <v>4.4519450000000002E-2</v>
      </c>
      <c r="H10" t="str">
        <f t="shared" si="1"/>
        <v>"0</v>
      </c>
      <c r="J10" t="s">
        <v>95</v>
      </c>
      <c r="K10">
        <v>7.1675866666667004E-2</v>
      </c>
      <c r="L10" t="str">
        <f t="shared" si="2"/>
        <v>"1</v>
      </c>
      <c r="N10" t="s">
        <v>10</v>
      </c>
      <c r="O10">
        <v>2.8773158730158999E-2</v>
      </c>
      <c r="P10" t="str">
        <f t="shared" si="3"/>
        <v>"1</v>
      </c>
    </row>
    <row r="11" spans="2:16" x14ac:dyDescent="0.2">
      <c r="B11" t="s">
        <v>97</v>
      </c>
      <c r="C11">
        <v>3.7419116666667002E-2</v>
      </c>
      <c r="D11" t="str">
        <f t="shared" si="0"/>
        <v>"0</v>
      </c>
      <c r="F11" t="s">
        <v>97</v>
      </c>
      <c r="G11">
        <v>3.8056133333332999E-2</v>
      </c>
      <c r="H11" t="str">
        <f t="shared" si="1"/>
        <v>"0</v>
      </c>
      <c r="J11" t="s">
        <v>98</v>
      </c>
      <c r="K11">
        <v>9.8001333333329992E-3</v>
      </c>
      <c r="L11" t="str">
        <f t="shared" si="2"/>
        <v>"0</v>
      </c>
      <c r="N11" t="s">
        <v>11</v>
      </c>
      <c r="O11">
        <v>8.4937896825400001E-3</v>
      </c>
      <c r="P11" t="str">
        <f t="shared" si="3"/>
        <v>"0</v>
      </c>
    </row>
    <row r="12" spans="2:16" x14ac:dyDescent="0.2">
      <c r="B12" t="s">
        <v>98</v>
      </c>
      <c r="C12">
        <v>1.6344299999999999E-2</v>
      </c>
      <c r="D12" t="str">
        <f t="shared" si="0"/>
        <v>"0</v>
      </c>
      <c r="F12" t="s">
        <v>98</v>
      </c>
      <c r="G12">
        <v>1.4670216666666999E-2</v>
      </c>
      <c r="H12" t="str">
        <f t="shared" si="1"/>
        <v>"0</v>
      </c>
      <c r="J12" t="s">
        <v>93</v>
      </c>
      <c r="K12">
        <v>0.11980335</v>
      </c>
      <c r="L12" t="str">
        <f t="shared" si="2"/>
        <v>"2</v>
      </c>
      <c r="N12" t="s">
        <v>12</v>
      </c>
      <c r="O12">
        <v>1.4275380952380999E-2</v>
      </c>
      <c r="P12" t="str">
        <f t="shared" si="3"/>
        <v>"0</v>
      </c>
    </row>
    <row r="13" spans="2:16" x14ac:dyDescent="0.2">
      <c r="B13" t="s">
        <v>99</v>
      </c>
      <c r="C13">
        <v>8.0789583333332998E-2</v>
      </c>
      <c r="D13" t="str">
        <f t="shared" si="0"/>
        <v>"3</v>
      </c>
      <c r="F13" t="s">
        <v>100</v>
      </c>
      <c r="G13">
        <v>9.8407549999999996E-2</v>
      </c>
      <c r="H13" t="str">
        <f t="shared" si="1"/>
        <v>"2</v>
      </c>
      <c r="J13" t="s">
        <v>102</v>
      </c>
      <c r="K13">
        <v>4.3448483333333003E-2</v>
      </c>
      <c r="L13" t="str">
        <f t="shared" si="2"/>
        <v>"1</v>
      </c>
      <c r="N13" t="s">
        <v>13</v>
      </c>
      <c r="O13">
        <v>1.140973015873E-2</v>
      </c>
      <c r="P13" t="str">
        <f t="shared" si="3"/>
        <v>"0</v>
      </c>
    </row>
    <row r="14" spans="2:16" x14ac:dyDescent="0.2">
      <c r="B14" t="s">
        <v>100</v>
      </c>
      <c r="C14">
        <v>0.10173998333333301</v>
      </c>
      <c r="D14" t="str">
        <f t="shared" si="0"/>
        <v>"2</v>
      </c>
      <c r="F14" t="s">
        <v>102</v>
      </c>
      <c r="G14">
        <v>8.1658066666667001E-2</v>
      </c>
      <c r="H14" t="str">
        <f t="shared" si="1"/>
        <v>"1</v>
      </c>
      <c r="J14" t="s">
        <v>105</v>
      </c>
      <c r="K14">
        <v>1.2526000000000001E-2</v>
      </c>
      <c r="L14" t="str">
        <f t="shared" si="2"/>
        <v>"0</v>
      </c>
      <c r="N14" t="s">
        <v>14</v>
      </c>
      <c r="O14">
        <v>8.1297658730160004E-3</v>
      </c>
      <c r="P14" t="str">
        <f t="shared" si="3"/>
        <v>"0</v>
      </c>
    </row>
    <row r="15" spans="2:16" x14ac:dyDescent="0.2">
      <c r="B15" t="s">
        <v>101</v>
      </c>
      <c r="C15">
        <v>3.9926400000000001E-2</v>
      </c>
      <c r="D15" t="str">
        <f t="shared" si="0"/>
        <v>"2</v>
      </c>
      <c r="F15" t="s">
        <v>103</v>
      </c>
      <c r="G15">
        <v>5.1685500000000002E-2</v>
      </c>
      <c r="H15" t="str">
        <f t="shared" si="1"/>
        <v>"1</v>
      </c>
      <c r="J15" t="s">
        <v>106</v>
      </c>
      <c r="K15">
        <v>2.1152966666667002E-2</v>
      </c>
      <c r="L15" t="str">
        <f t="shared" si="2"/>
        <v>"0</v>
      </c>
      <c r="N15" t="s">
        <v>15</v>
      </c>
      <c r="O15">
        <v>4.5596190476189999E-3</v>
      </c>
      <c r="P15" t="str">
        <f t="shared" si="3"/>
        <v>"0</v>
      </c>
    </row>
    <row r="16" spans="2:16" x14ac:dyDescent="0.2">
      <c r="B16" t="s">
        <v>102</v>
      </c>
      <c r="C16">
        <v>8.4658916666667E-2</v>
      </c>
      <c r="D16" t="str">
        <f t="shared" si="0"/>
        <v>"1</v>
      </c>
      <c r="F16" t="s">
        <v>105</v>
      </c>
      <c r="G16">
        <v>3.3079049999999999E-2</v>
      </c>
      <c r="H16" t="str">
        <f t="shared" si="1"/>
        <v>"0</v>
      </c>
      <c r="J16" t="s">
        <v>103</v>
      </c>
      <c r="K16">
        <v>3.0996966666667E-2</v>
      </c>
      <c r="L16" t="str">
        <f t="shared" si="2"/>
        <v>"1</v>
      </c>
      <c r="N16" t="s">
        <v>16</v>
      </c>
      <c r="O16">
        <v>2.4276285714286E-2</v>
      </c>
      <c r="P16" t="str">
        <f t="shared" si="3"/>
        <v>"1</v>
      </c>
    </row>
    <row r="17" spans="1:19" x14ac:dyDescent="0.2">
      <c r="B17" t="s">
        <v>103</v>
      </c>
      <c r="C17">
        <v>4.9339916666666997E-2</v>
      </c>
      <c r="D17" t="str">
        <f t="shared" si="0"/>
        <v>"1</v>
      </c>
      <c r="F17" t="s">
        <v>106</v>
      </c>
      <c r="G17">
        <v>3.890805E-2</v>
      </c>
      <c r="H17" t="str">
        <f t="shared" si="1"/>
        <v>"0</v>
      </c>
      <c r="J17" t="s">
        <v>107</v>
      </c>
      <c r="K17">
        <v>1.356185E-2</v>
      </c>
      <c r="L17" t="str">
        <f t="shared" si="2"/>
        <v>"0</v>
      </c>
      <c r="N17" t="s">
        <v>17</v>
      </c>
      <c r="O17">
        <v>5.9169166666669997E-3</v>
      </c>
      <c r="P17" t="str">
        <f t="shared" si="3"/>
        <v>"0</v>
      </c>
    </row>
    <row r="18" spans="1:19" x14ac:dyDescent="0.2">
      <c r="B18" t="s">
        <v>104</v>
      </c>
      <c r="C18">
        <v>2.2845549999999999E-2</v>
      </c>
      <c r="D18" t="str">
        <f t="shared" si="0"/>
        <v>"1</v>
      </c>
      <c r="F18" t="s">
        <v>107</v>
      </c>
      <c r="G18">
        <v>2.5557866666667001E-2</v>
      </c>
      <c r="H18" t="str">
        <f t="shared" si="1"/>
        <v>"0</v>
      </c>
      <c r="J18" t="s">
        <v>104</v>
      </c>
      <c r="K18">
        <v>2.4526999999999999E-3</v>
      </c>
      <c r="L18" t="str">
        <f t="shared" si="2"/>
        <v>"1</v>
      </c>
      <c r="N18" t="s">
        <v>18</v>
      </c>
      <c r="O18">
        <v>9.4718531746029993E-3</v>
      </c>
      <c r="P18" t="str">
        <f t="shared" si="3"/>
        <v>"0</v>
      </c>
    </row>
    <row r="19" spans="1:19" x14ac:dyDescent="0.2">
      <c r="B19" t="s">
        <v>105</v>
      </c>
      <c r="C19">
        <v>4.3915683333332997E-2</v>
      </c>
      <c r="D19" t="str">
        <f t="shared" si="0"/>
        <v>"0</v>
      </c>
      <c r="F19" t="s">
        <v>101</v>
      </c>
      <c r="G19">
        <v>4.0373100000000002E-2</v>
      </c>
      <c r="H19" t="str">
        <f t="shared" si="1"/>
        <v>"2</v>
      </c>
      <c r="J19" t="s">
        <v>108</v>
      </c>
      <c r="K19">
        <v>2.4575666666669998E-3</v>
      </c>
      <c r="L19" t="str">
        <f t="shared" si="2"/>
        <v>"0</v>
      </c>
      <c r="N19" t="s">
        <v>19</v>
      </c>
      <c r="O19">
        <v>6.7353253968250003E-3</v>
      </c>
      <c r="P19" t="str">
        <f t="shared" si="3"/>
        <v>"0</v>
      </c>
    </row>
    <row r="20" spans="1:19" x14ac:dyDescent="0.2">
      <c r="B20" t="s">
        <v>106</v>
      </c>
      <c r="C20">
        <v>4.3585649999999997E-2</v>
      </c>
      <c r="D20" t="str">
        <f t="shared" si="0"/>
        <v>"0</v>
      </c>
      <c r="F20" t="s">
        <v>104</v>
      </c>
      <c r="G20">
        <v>2.3672583333333001E-2</v>
      </c>
      <c r="H20" t="str">
        <f t="shared" si="1"/>
        <v>"1</v>
      </c>
      <c r="J20" t="s">
        <v>99</v>
      </c>
      <c r="K20">
        <v>6.1009916666666997E-2</v>
      </c>
      <c r="L20" t="str">
        <f t="shared" si="2"/>
        <v>"3</v>
      </c>
      <c r="N20" t="s">
        <v>20</v>
      </c>
      <c r="O20">
        <v>3.7763928571430002E-3</v>
      </c>
      <c r="P20" t="str">
        <f t="shared" si="3"/>
        <v>"0</v>
      </c>
    </row>
    <row r="21" spans="1:19" x14ac:dyDescent="0.2">
      <c r="B21" t="s">
        <v>107</v>
      </c>
      <c r="C21">
        <v>3.0933800000000001E-2</v>
      </c>
      <c r="D21" t="str">
        <f t="shared" si="0"/>
        <v>"0</v>
      </c>
      <c r="F21" t="s">
        <v>108</v>
      </c>
      <c r="G21">
        <v>6.7728833333329996E-3</v>
      </c>
      <c r="H21" t="str">
        <f t="shared" si="1"/>
        <v>"0</v>
      </c>
      <c r="J21" t="s">
        <v>100</v>
      </c>
      <c r="K21">
        <v>8.9460066666667004E-2</v>
      </c>
      <c r="L21" t="str">
        <f t="shared" si="2"/>
        <v>"2</v>
      </c>
      <c r="N21" t="s">
        <v>21</v>
      </c>
      <c r="O21">
        <v>1.9578134920634999E-2</v>
      </c>
      <c r="P21" t="str">
        <f t="shared" si="3"/>
        <v>"1</v>
      </c>
    </row>
    <row r="22" spans="1:19" x14ac:dyDescent="0.2">
      <c r="B22" t="s">
        <v>108</v>
      </c>
      <c r="C22">
        <v>1.2636666666667001E-2</v>
      </c>
      <c r="D22" t="str">
        <f t="shared" si="0"/>
        <v>"0</v>
      </c>
      <c r="F22" t="s">
        <v>99</v>
      </c>
      <c r="G22">
        <v>7.0382566666667007E-2</v>
      </c>
      <c r="H22" t="str">
        <f t="shared" si="1"/>
        <v>"3</v>
      </c>
      <c r="J22" t="s">
        <v>101</v>
      </c>
      <c r="K22">
        <v>4.8511166666667001E-2</v>
      </c>
      <c r="L22" t="str">
        <f t="shared" si="2"/>
        <v>"2</v>
      </c>
      <c r="N22" t="s">
        <v>22</v>
      </c>
      <c r="O22">
        <v>3.676023809524E-3</v>
      </c>
      <c r="P22" t="str">
        <f t="shared" si="3"/>
        <v>"0</v>
      </c>
    </row>
    <row r="23" spans="1:19" x14ac:dyDescent="0.2">
      <c r="N23" t="s">
        <v>23</v>
      </c>
      <c r="O23">
        <v>5.1752460317459996E-3</v>
      </c>
      <c r="P23" t="str">
        <f t="shared" si="3"/>
        <v>"0</v>
      </c>
    </row>
    <row r="24" spans="1:19" x14ac:dyDescent="0.2">
      <c r="N24" t="s">
        <v>24</v>
      </c>
      <c r="O24">
        <v>2.9162896825400001E-3</v>
      </c>
      <c r="P24" t="str">
        <f t="shared" si="3"/>
        <v>"0</v>
      </c>
    </row>
    <row r="25" spans="1:19" x14ac:dyDescent="0.2">
      <c r="N25" t="s">
        <v>25</v>
      </c>
      <c r="O25">
        <v>1.4447519841270001E-2</v>
      </c>
      <c r="P25" t="str">
        <f t="shared" si="3"/>
        <v>"1</v>
      </c>
    </row>
    <row r="26" spans="1:19" x14ac:dyDescent="0.2">
      <c r="N26" t="s">
        <v>26</v>
      </c>
      <c r="O26">
        <v>1.6192380952380001E-3</v>
      </c>
      <c r="P26" t="str">
        <f t="shared" si="3"/>
        <v>"0</v>
      </c>
    </row>
    <row r="27" spans="1:19" x14ac:dyDescent="0.2">
      <c r="A27" s="6" t="s">
        <v>130</v>
      </c>
      <c r="B27" t="s">
        <v>136</v>
      </c>
      <c r="F27" s="6" t="s">
        <v>130</v>
      </c>
      <c r="G27" t="s">
        <v>136</v>
      </c>
      <c r="J27" s="6" t="s">
        <v>130</v>
      </c>
      <c r="K27" t="s">
        <v>136</v>
      </c>
      <c r="N27" t="s">
        <v>27</v>
      </c>
      <c r="O27">
        <v>1.822083333333E-3</v>
      </c>
      <c r="P27" t="str">
        <f t="shared" si="3"/>
        <v>"0</v>
      </c>
      <c r="R27" s="6" t="s">
        <v>130</v>
      </c>
      <c r="S27" t="s">
        <v>136</v>
      </c>
    </row>
    <row r="28" spans="1:19" x14ac:dyDescent="0.2">
      <c r="A28" s="7" t="s">
        <v>131</v>
      </c>
      <c r="B28">
        <v>0.33871326666666701</v>
      </c>
      <c r="F28" s="7" t="s">
        <v>131</v>
      </c>
      <c r="G28">
        <v>0.31595474999999995</v>
      </c>
      <c r="J28" s="7" t="s">
        <v>131</v>
      </c>
      <c r="K28">
        <v>0.28722328333333397</v>
      </c>
      <c r="N28" t="s">
        <v>28</v>
      </c>
      <c r="O28">
        <v>7.9444404761899994E-3</v>
      </c>
      <c r="P28" t="str">
        <f t="shared" si="3"/>
        <v>"1</v>
      </c>
      <c r="R28" s="7" t="s">
        <v>131</v>
      </c>
      <c r="S28">
        <v>0.34041754365079496</v>
      </c>
    </row>
    <row r="29" spans="1:19" x14ac:dyDescent="0.2">
      <c r="A29" s="7" t="s">
        <v>132</v>
      </c>
      <c r="B29">
        <v>0.36107088333333398</v>
      </c>
      <c r="F29" s="7" t="s">
        <v>132</v>
      </c>
      <c r="G29">
        <v>0.39015898333333399</v>
      </c>
      <c r="J29" s="7" t="s">
        <v>132</v>
      </c>
      <c r="K29">
        <v>0.39399221666666701</v>
      </c>
      <c r="N29" t="s">
        <v>29</v>
      </c>
      <c r="O29">
        <v>2.43111111111E-4</v>
      </c>
      <c r="P29" t="str">
        <f t="shared" si="3"/>
        <v>"0</v>
      </c>
      <c r="R29" s="7" t="s">
        <v>132</v>
      </c>
      <c r="S29">
        <v>0.43577861111111299</v>
      </c>
    </row>
    <row r="30" spans="1:19" x14ac:dyDescent="0.2">
      <c r="A30" s="7" t="s">
        <v>133</v>
      </c>
      <c r="B30">
        <v>0.21942626666666601</v>
      </c>
      <c r="F30" s="7" t="s">
        <v>133</v>
      </c>
      <c r="G30">
        <v>0.22350369999999997</v>
      </c>
      <c r="J30" s="7" t="s">
        <v>133</v>
      </c>
      <c r="K30">
        <v>0.25777458333333403</v>
      </c>
      <c r="N30" t="s">
        <v>30</v>
      </c>
      <c r="O30">
        <v>2.5183051587302E-2</v>
      </c>
      <c r="P30" t="str">
        <f t="shared" si="3"/>
        <v>"2</v>
      </c>
      <c r="R30" s="7" t="s">
        <v>133</v>
      </c>
      <c r="S30">
        <v>0.19872507936507999</v>
      </c>
    </row>
    <row r="31" spans="1:19" x14ac:dyDescent="0.2">
      <c r="A31" s="7" t="s">
        <v>134</v>
      </c>
      <c r="B31">
        <v>8.0789583333332998E-2</v>
      </c>
      <c r="F31" s="7" t="s">
        <v>134</v>
      </c>
      <c r="G31">
        <v>7.0382566666667007E-2</v>
      </c>
      <c r="J31" s="7" t="s">
        <v>134</v>
      </c>
      <c r="K31">
        <v>6.1009916666666997E-2</v>
      </c>
      <c r="N31" t="s">
        <v>31</v>
      </c>
      <c r="O31">
        <v>3.6253488095237998E-2</v>
      </c>
      <c r="P31" t="str">
        <f t="shared" si="3"/>
        <v>"1</v>
      </c>
      <c r="R31" s="7" t="s">
        <v>134</v>
      </c>
      <c r="S31">
        <v>2.5078765873015999E-2</v>
      </c>
    </row>
    <row r="32" spans="1:19" x14ac:dyDescent="0.2">
      <c r="A32" s="7" t="s">
        <v>135</v>
      </c>
      <c r="B32">
        <v>1</v>
      </c>
      <c r="F32" s="7" t="s">
        <v>135</v>
      </c>
      <c r="G32">
        <v>1.0000000000000009</v>
      </c>
      <c r="J32" s="7" t="s">
        <v>135</v>
      </c>
      <c r="K32">
        <v>1.000000000000002</v>
      </c>
      <c r="N32" t="s">
        <v>32</v>
      </c>
      <c r="O32">
        <v>8.8321547619049992E-3</v>
      </c>
      <c r="P32" t="str">
        <f t="shared" si="3"/>
        <v>"0</v>
      </c>
      <c r="R32" s="7" t="s">
        <v>135</v>
      </c>
      <c r="S32">
        <v>1.000000000000004</v>
      </c>
    </row>
    <row r="33" spans="14:16" x14ac:dyDescent="0.2">
      <c r="N33" t="s">
        <v>33</v>
      </c>
      <c r="O33">
        <v>2.1516218253968E-2</v>
      </c>
      <c r="P33" t="str">
        <f t="shared" si="3"/>
        <v>"0</v>
      </c>
    </row>
    <row r="34" spans="14:16" x14ac:dyDescent="0.2">
      <c r="N34" t="s">
        <v>34</v>
      </c>
      <c r="O34">
        <v>1.6236452380952001E-2</v>
      </c>
      <c r="P34" t="str">
        <f t="shared" si="3"/>
        <v>"0</v>
      </c>
    </row>
    <row r="35" spans="14:16" x14ac:dyDescent="0.2">
      <c r="N35" t="s">
        <v>35</v>
      </c>
      <c r="O35">
        <v>1.0656416666667E-2</v>
      </c>
      <c r="P35" t="str">
        <f t="shared" si="3"/>
        <v>"0</v>
      </c>
    </row>
    <row r="36" spans="14:16" x14ac:dyDescent="0.2">
      <c r="N36" t="s">
        <v>36</v>
      </c>
      <c r="O36">
        <v>5.1995317460320004E-3</v>
      </c>
      <c r="P36" t="str">
        <f t="shared" si="3"/>
        <v>"0</v>
      </c>
    </row>
    <row r="37" spans="14:16" x14ac:dyDescent="0.2">
      <c r="N37" t="s">
        <v>37</v>
      </c>
      <c r="O37">
        <v>5.8926912698412999E-2</v>
      </c>
      <c r="P37" t="str">
        <f t="shared" si="3"/>
        <v>"1</v>
      </c>
    </row>
    <row r="38" spans="14:16" x14ac:dyDescent="0.2">
      <c r="N38" t="s">
        <v>38</v>
      </c>
      <c r="O38">
        <v>1.7000353174603001E-2</v>
      </c>
      <c r="P38" t="str">
        <f t="shared" si="3"/>
        <v>"0</v>
      </c>
    </row>
    <row r="39" spans="14:16" x14ac:dyDescent="0.2">
      <c r="N39" t="s">
        <v>39</v>
      </c>
      <c r="O39">
        <v>2.5688761904761999E-2</v>
      </c>
      <c r="P39" t="str">
        <f t="shared" si="3"/>
        <v>"0</v>
      </c>
    </row>
    <row r="40" spans="14:16" x14ac:dyDescent="0.2">
      <c r="N40" t="s">
        <v>40</v>
      </c>
      <c r="O40">
        <v>1.7020738095237999E-2</v>
      </c>
      <c r="P40" t="str">
        <f t="shared" si="3"/>
        <v>"0</v>
      </c>
    </row>
    <row r="41" spans="14:16" x14ac:dyDescent="0.2">
      <c r="N41" t="s">
        <v>41</v>
      </c>
      <c r="O41">
        <v>8.3268611111110002E-3</v>
      </c>
      <c r="P41" t="str">
        <f t="shared" si="3"/>
        <v>"0</v>
      </c>
    </row>
    <row r="42" spans="14:16" x14ac:dyDescent="0.2">
      <c r="N42" t="s">
        <v>42</v>
      </c>
      <c r="O42">
        <v>4.4847730158729997E-2</v>
      </c>
      <c r="P42" t="str">
        <f t="shared" si="3"/>
        <v>"1</v>
      </c>
    </row>
    <row r="43" spans="14:16" x14ac:dyDescent="0.2">
      <c r="N43" t="s">
        <v>43</v>
      </c>
      <c r="O43">
        <v>9.2538968253970001E-3</v>
      </c>
      <c r="P43" t="str">
        <f t="shared" si="3"/>
        <v>"0</v>
      </c>
    </row>
    <row r="44" spans="14:16" x14ac:dyDescent="0.2">
      <c r="N44" t="s">
        <v>44</v>
      </c>
      <c r="O44">
        <v>1.2353968253967999E-2</v>
      </c>
      <c r="P44" t="str">
        <f t="shared" si="3"/>
        <v>"0</v>
      </c>
    </row>
    <row r="45" spans="14:16" x14ac:dyDescent="0.2">
      <c r="N45" t="s">
        <v>45</v>
      </c>
      <c r="O45">
        <v>6.1642222222219999E-3</v>
      </c>
      <c r="P45" t="str">
        <f t="shared" si="3"/>
        <v>"0</v>
      </c>
    </row>
    <row r="46" spans="14:16" x14ac:dyDescent="0.2">
      <c r="N46" t="s">
        <v>46</v>
      </c>
      <c r="O46">
        <v>3.0385432539683E-2</v>
      </c>
      <c r="P46" t="str">
        <f t="shared" si="3"/>
        <v>"1</v>
      </c>
    </row>
    <row r="47" spans="14:16" x14ac:dyDescent="0.2">
      <c r="N47" t="s">
        <v>47</v>
      </c>
      <c r="O47">
        <v>3.6801071428569998E-3</v>
      </c>
      <c r="P47" t="str">
        <f t="shared" si="3"/>
        <v>"0</v>
      </c>
    </row>
    <row r="48" spans="14:16" x14ac:dyDescent="0.2">
      <c r="N48" t="s">
        <v>48</v>
      </c>
      <c r="O48">
        <v>3.7756785714289998E-3</v>
      </c>
      <c r="P48" t="str">
        <f t="shared" si="3"/>
        <v>"0</v>
      </c>
    </row>
    <row r="49" spans="14:16" x14ac:dyDescent="0.2">
      <c r="N49" t="s">
        <v>49</v>
      </c>
      <c r="O49">
        <v>1.5345075396825E-2</v>
      </c>
      <c r="P49" t="str">
        <f t="shared" si="3"/>
        <v>"1</v>
      </c>
    </row>
    <row r="50" spans="14:16" x14ac:dyDescent="0.2">
      <c r="N50" t="s">
        <v>50</v>
      </c>
      <c r="O50">
        <v>6.8632936507899997E-4</v>
      </c>
      <c r="P50" t="str">
        <f t="shared" si="3"/>
        <v>"0</v>
      </c>
    </row>
    <row r="51" spans="14:16" x14ac:dyDescent="0.2">
      <c r="N51" t="s">
        <v>51</v>
      </c>
      <c r="O51">
        <v>2.3360900793651E-2</v>
      </c>
      <c r="P51" t="str">
        <f t="shared" si="3"/>
        <v>"1</v>
      </c>
    </row>
    <row r="52" spans="14:16" x14ac:dyDescent="0.2">
      <c r="N52" t="s">
        <v>52</v>
      </c>
      <c r="O52">
        <v>4.2830595238100002E-3</v>
      </c>
      <c r="P52" t="str">
        <f t="shared" si="3"/>
        <v>"0</v>
      </c>
    </row>
    <row r="53" spans="14:16" x14ac:dyDescent="0.2">
      <c r="N53" t="s">
        <v>53</v>
      </c>
      <c r="O53">
        <v>9.8261785714289993E-3</v>
      </c>
      <c r="P53" t="str">
        <f t="shared" si="3"/>
        <v>"0</v>
      </c>
    </row>
    <row r="54" spans="14:16" x14ac:dyDescent="0.2">
      <c r="N54" t="s">
        <v>54</v>
      </c>
      <c r="O54">
        <v>6.6025277777780004E-3</v>
      </c>
      <c r="P54" t="str">
        <f t="shared" si="3"/>
        <v>"0</v>
      </c>
    </row>
    <row r="55" spans="14:16" x14ac:dyDescent="0.2">
      <c r="N55" t="s">
        <v>55</v>
      </c>
      <c r="O55">
        <v>3.241920634921E-3</v>
      </c>
      <c r="P55" t="str">
        <f t="shared" si="3"/>
        <v>"0</v>
      </c>
    </row>
    <row r="56" spans="14:16" x14ac:dyDescent="0.2">
      <c r="N56" t="s">
        <v>56</v>
      </c>
      <c r="O56">
        <v>3.5681781746032003E-2</v>
      </c>
      <c r="P56" t="str">
        <f t="shared" si="3"/>
        <v>"1</v>
      </c>
    </row>
    <row r="57" spans="14:16" x14ac:dyDescent="0.2">
      <c r="N57" t="s">
        <v>57</v>
      </c>
      <c r="O57">
        <v>7.1459761904759996E-3</v>
      </c>
      <c r="P57" t="str">
        <f t="shared" si="3"/>
        <v>"0</v>
      </c>
    </row>
    <row r="58" spans="14:16" x14ac:dyDescent="0.2">
      <c r="N58" t="s">
        <v>58</v>
      </c>
      <c r="O58">
        <v>9.5786944444439994E-3</v>
      </c>
      <c r="P58" t="str">
        <f t="shared" si="3"/>
        <v>"0</v>
      </c>
    </row>
    <row r="59" spans="14:16" x14ac:dyDescent="0.2">
      <c r="N59" t="s">
        <v>59</v>
      </c>
      <c r="O59">
        <v>4.8518928571429998E-3</v>
      </c>
      <c r="P59" t="str">
        <f t="shared" si="3"/>
        <v>"0</v>
      </c>
    </row>
    <row r="60" spans="14:16" x14ac:dyDescent="0.2">
      <c r="N60" t="s">
        <v>60</v>
      </c>
      <c r="O60">
        <v>2.4238845238095E-2</v>
      </c>
      <c r="P60" t="str">
        <f t="shared" si="3"/>
        <v>"1</v>
      </c>
    </row>
    <row r="61" spans="14:16" x14ac:dyDescent="0.2">
      <c r="N61" t="s">
        <v>61</v>
      </c>
      <c r="O61">
        <v>2.8540634920630002E-3</v>
      </c>
      <c r="P61" t="str">
        <f t="shared" si="3"/>
        <v>"0</v>
      </c>
    </row>
    <row r="62" spans="14:16" x14ac:dyDescent="0.2">
      <c r="N62" t="s">
        <v>62</v>
      </c>
      <c r="O62">
        <v>2.9737777777779999E-3</v>
      </c>
      <c r="P62" t="str">
        <f t="shared" si="3"/>
        <v>"0</v>
      </c>
    </row>
    <row r="63" spans="14:16" x14ac:dyDescent="0.2">
      <c r="N63" t="s">
        <v>63</v>
      </c>
      <c r="O63">
        <v>1.1931777777777999E-2</v>
      </c>
      <c r="P63" t="str">
        <f t="shared" si="3"/>
        <v>"1</v>
      </c>
    </row>
    <row r="64" spans="14:16" x14ac:dyDescent="0.2">
      <c r="N64" t="s">
        <v>64</v>
      </c>
      <c r="O64">
        <v>5.7465079365099996E-4</v>
      </c>
      <c r="P64" t="str">
        <f t="shared" si="3"/>
        <v>"0</v>
      </c>
    </row>
    <row r="65" spans="14:16" x14ac:dyDescent="0.2">
      <c r="N65" t="s">
        <v>65</v>
      </c>
      <c r="O65">
        <v>1.3028603174603E-2</v>
      </c>
      <c r="P65" t="str">
        <f t="shared" si="3"/>
        <v>"1</v>
      </c>
    </row>
    <row r="66" spans="14:16" x14ac:dyDescent="0.2">
      <c r="N66" t="s">
        <v>66</v>
      </c>
      <c r="O66">
        <v>1.5753849206350001E-3</v>
      </c>
      <c r="P66" t="str">
        <f t="shared" si="3"/>
        <v>"0</v>
      </c>
    </row>
    <row r="67" spans="14:16" x14ac:dyDescent="0.2">
      <c r="N67" t="s">
        <v>67</v>
      </c>
      <c r="O67">
        <v>3.224591269841E-3</v>
      </c>
      <c r="P67" t="str">
        <f t="shared" si="3"/>
        <v>"0</v>
      </c>
    </row>
    <row r="68" spans="14:16" x14ac:dyDescent="0.2">
      <c r="N68" t="s">
        <v>68</v>
      </c>
      <c r="O68">
        <v>1.7190158730159999E-3</v>
      </c>
      <c r="P68" t="str">
        <f t="shared" ref="P68:P86" si="4">LEFT(N68,2)</f>
        <v>"0</v>
      </c>
    </row>
    <row r="69" spans="14:16" x14ac:dyDescent="0.2">
      <c r="N69" t="s">
        <v>69</v>
      </c>
      <c r="O69">
        <v>1.7769123015872999E-2</v>
      </c>
      <c r="P69" t="str">
        <f t="shared" si="4"/>
        <v>"1</v>
      </c>
    </row>
    <row r="70" spans="14:16" x14ac:dyDescent="0.2">
      <c r="N70" t="s">
        <v>70</v>
      </c>
      <c r="O70">
        <v>1.9555238095240002E-3</v>
      </c>
      <c r="P70" t="str">
        <f t="shared" si="4"/>
        <v>"0</v>
      </c>
    </row>
    <row r="71" spans="14:16" x14ac:dyDescent="0.2">
      <c r="N71" t="s">
        <v>71</v>
      </c>
      <c r="O71">
        <v>2.0942380952380002E-3</v>
      </c>
      <c r="P71" t="str">
        <f t="shared" si="4"/>
        <v>"0</v>
      </c>
    </row>
    <row r="72" spans="14:16" x14ac:dyDescent="0.2">
      <c r="N72" t="s">
        <v>72</v>
      </c>
      <c r="O72">
        <v>8.4658809523810007E-3</v>
      </c>
      <c r="P72" t="str">
        <f t="shared" si="4"/>
        <v>"1</v>
      </c>
    </row>
    <row r="73" spans="14:16" x14ac:dyDescent="0.2">
      <c r="N73" t="s">
        <v>73</v>
      </c>
      <c r="O73">
        <v>4.5141269841300001E-4</v>
      </c>
      <c r="P73" t="str">
        <f t="shared" si="4"/>
        <v>"0</v>
      </c>
    </row>
    <row r="74" spans="14:16" x14ac:dyDescent="0.2">
      <c r="N74" t="s">
        <v>74</v>
      </c>
      <c r="O74">
        <v>5.44580952381E-3</v>
      </c>
      <c r="P74" t="str">
        <f t="shared" si="4"/>
        <v>"1</v>
      </c>
    </row>
    <row r="75" spans="14:16" x14ac:dyDescent="0.2">
      <c r="N75" t="s">
        <v>75</v>
      </c>
      <c r="O75">
        <v>2.7117460317500002E-4</v>
      </c>
      <c r="P75" t="str">
        <f t="shared" si="4"/>
        <v>"0</v>
      </c>
    </row>
    <row r="76" spans="14:16" x14ac:dyDescent="0.2">
      <c r="N76" t="s">
        <v>76</v>
      </c>
      <c r="O76">
        <v>4.9800793650800002E-4</v>
      </c>
      <c r="P76" t="str">
        <f t="shared" si="4"/>
        <v>"0</v>
      </c>
    </row>
    <row r="77" spans="14:16" x14ac:dyDescent="0.2">
      <c r="N77" t="s">
        <v>77</v>
      </c>
      <c r="O77">
        <v>4.7765912698410004E-3</v>
      </c>
      <c r="P77" t="str">
        <f t="shared" si="4"/>
        <v>"1</v>
      </c>
    </row>
    <row r="78" spans="14:16" x14ac:dyDescent="0.2">
      <c r="N78" t="s">
        <v>78</v>
      </c>
      <c r="O78">
        <v>2.9477777777800002E-4</v>
      </c>
      <c r="P78" t="str">
        <f t="shared" si="4"/>
        <v>"0</v>
      </c>
    </row>
    <row r="79" spans="14:16" x14ac:dyDescent="0.2">
      <c r="N79" t="s">
        <v>79</v>
      </c>
      <c r="O79">
        <v>3.4936507937000002E-5</v>
      </c>
      <c r="P79" t="str">
        <f t="shared" si="4"/>
        <v>"1</v>
      </c>
    </row>
    <row r="80" spans="14:16" x14ac:dyDescent="0.2">
      <c r="N80" t="s">
        <v>80</v>
      </c>
      <c r="O80">
        <v>3.4654761904999998E-5</v>
      </c>
      <c r="P80" t="str">
        <f t="shared" si="4"/>
        <v>"0</v>
      </c>
    </row>
    <row r="81" spans="14:16" x14ac:dyDescent="0.2">
      <c r="N81" t="s">
        <v>81</v>
      </c>
      <c r="O81">
        <v>2.5078765873015999E-2</v>
      </c>
      <c r="P81" t="str">
        <f t="shared" si="4"/>
        <v>"3</v>
      </c>
    </row>
    <row r="82" spans="14:16" x14ac:dyDescent="0.2">
      <c r="N82" t="s">
        <v>82</v>
      </c>
      <c r="O82">
        <v>5.2446591269840998E-2</v>
      </c>
      <c r="P82" t="str">
        <f t="shared" si="4"/>
        <v>"2</v>
      </c>
    </row>
    <row r="83" spans="14:16" x14ac:dyDescent="0.2">
      <c r="N83" t="s">
        <v>83</v>
      </c>
      <c r="O83">
        <v>4.3906797619047998E-2</v>
      </c>
      <c r="P83" t="str">
        <f t="shared" si="4"/>
        <v>"2</v>
      </c>
    </row>
    <row r="84" spans="14:16" x14ac:dyDescent="0.2">
      <c r="N84" t="s">
        <v>84</v>
      </c>
      <c r="O84">
        <v>3.4959857142857001E-2</v>
      </c>
      <c r="P84" t="str">
        <f t="shared" si="4"/>
        <v>"2</v>
      </c>
    </row>
    <row r="85" spans="14:16" x14ac:dyDescent="0.2">
      <c r="N85" t="s">
        <v>85</v>
      </c>
      <c r="O85">
        <v>2.5963678571428998E-2</v>
      </c>
      <c r="P85" t="str">
        <f t="shared" si="4"/>
        <v>"2</v>
      </c>
    </row>
    <row r="86" spans="14:16" x14ac:dyDescent="0.2">
      <c r="N86" t="s">
        <v>86</v>
      </c>
      <c r="O86">
        <v>1.6265103174603002E-2</v>
      </c>
      <c r="P86" t="str">
        <f t="shared" si="4"/>
        <v>"2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37ED-2E38-634B-899F-0CF071C0A594}">
  <dimension ref="D1:H9"/>
  <sheetViews>
    <sheetView tabSelected="1" zoomScale="125" workbookViewId="0">
      <selection activeCell="F12" sqref="F12"/>
    </sheetView>
  </sheetViews>
  <sheetFormatPr baseColWidth="10" defaultRowHeight="16" x14ac:dyDescent="0.2"/>
  <cols>
    <col min="4" max="4" width="16.83203125" bestFit="1" customWidth="1"/>
    <col min="5" max="8" width="12.6640625" bestFit="1" customWidth="1"/>
  </cols>
  <sheetData>
    <row r="1" spans="4:8" x14ac:dyDescent="0.2">
      <c r="D1" t="s">
        <v>143</v>
      </c>
      <c r="E1" t="s">
        <v>140</v>
      </c>
      <c r="F1" t="s">
        <v>139</v>
      </c>
      <c r="G1" t="s">
        <v>141</v>
      </c>
      <c r="H1" t="s">
        <v>142</v>
      </c>
    </row>
    <row r="2" spans="4:8" x14ac:dyDescent="0.2">
      <c r="D2">
        <v>0</v>
      </c>
      <c r="E2" s="8">
        <v>0.28722328333333397</v>
      </c>
      <c r="F2" s="8">
        <v>0.31595474999999995</v>
      </c>
      <c r="G2" s="8">
        <v>0.33871326666666701</v>
      </c>
      <c r="H2" s="8">
        <v>0.34041754365079496</v>
      </c>
    </row>
    <row r="3" spans="4:8" x14ac:dyDescent="0.2">
      <c r="D3">
        <v>1</v>
      </c>
      <c r="E3" s="8">
        <v>0.39399221666666701</v>
      </c>
      <c r="F3" s="8">
        <v>0.39015898333333399</v>
      </c>
      <c r="G3" s="8">
        <v>0.36107088333333398</v>
      </c>
      <c r="H3" s="8">
        <v>0.43577861111111299</v>
      </c>
    </row>
    <row r="4" spans="4:8" x14ac:dyDescent="0.2">
      <c r="D4">
        <v>2</v>
      </c>
      <c r="E4" s="8">
        <v>0.25777458333333403</v>
      </c>
      <c r="F4" s="8">
        <v>0.22350369999999997</v>
      </c>
      <c r="G4" s="8">
        <v>0.21942626666666601</v>
      </c>
      <c r="H4" s="8">
        <v>0.19872507936507999</v>
      </c>
    </row>
    <row r="5" spans="4:8" x14ac:dyDescent="0.2">
      <c r="D5">
        <v>3</v>
      </c>
      <c r="E5" s="8">
        <v>6.1009916666666997E-2</v>
      </c>
      <c r="F5" s="8">
        <v>7.0382566666667007E-2</v>
      </c>
      <c r="G5" s="8">
        <v>8.0789583333332998E-2</v>
      </c>
      <c r="H5" s="8">
        <v>2.5078765873015999E-2</v>
      </c>
    </row>
    <row r="9" spans="4:8" ht="19" x14ac:dyDescent="0.2">
      <c r="D9" s="9" t="s">
        <v>138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Sheet3</vt:lpstr>
      <vt:lpstr>Sheet2</vt:lpstr>
      <vt:lpstr>exp 4</vt:lpstr>
      <vt:lpstr>Sheet7</vt:lpstr>
      <vt:lpstr>raw values</vt:lpstr>
      <vt:lpstr>summarized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UZAIR SHAH BUKHARI - 15020</dc:creator>
  <cp:lastModifiedBy>Syed Uzair Shah Bukhari</cp:lastModifiedBy>
  <dcterms:created xsi:type="dcterms:W3CDTF">2026-07-28T07:40:16Z</dcterms:created>
  <dcterms:modified xsi:type="dcterms:W3CDTF">2026-08-05T04:23:33Z</dcterms:modified>
</cp:coreProperties>
</file>